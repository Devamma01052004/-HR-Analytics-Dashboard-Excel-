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hidePivotFieldList="1"/>
  <mc:AlternateContent xmlns:mc="http://schemas.openxmlformats.org/markup-compatibility/2006">
    <mc:Choice Requires="x15">
      <x15ac:absPath xmlns:x15ac="http://schemas.microsoft.com/office/spreadsheetml/2010/11/ac" url="C:\Users\USER\Downloads\"/>
    </mc:Choice>
  </mc:AlternateContent>
  <xr:revisionPtr revIDLastSave="0" documentId="13_ncr:1_{9DBBE4E8-073D-464C-915C-808E965A4D59}" xr6:coauthVersionLast="47" xr6:coauthVersionMax="47" xr10:uidLastSave="{00000000-0000-0000-0000-000000000000}"/>
  <bookViews>
    <workbookView xWindow="-120" yWindow="-120" windowWidth="20730" windowHeight="11160" activeTab="2" xr2:uid="{00000000-000D-0000-FFFF-FFFF00000000}"/>
  </bookViews>
  <sheets>
    <sheet name="Instructions" sheetId="3" r:id="rId1"/>
    <sheet name="HR Data" sheetId="1" r:id="rId2"/>
    <sheet name="Dashboard" sheetId="5" r:id="rId3"/>
  </sheets>
  <definedNames>
    <definedName name="_xlnm._FilterDatabase" localSheetId="1" hidden="1">'HR Data'!$A$4:$I$24</definedName>
    <definedName name="Slicer_Department">#N/A</definedName>
    <definedName name="Slicer_Department1">#N/A</definedName>
    <definedName name="Slicer_Full_Part_Time1">#N/A</definedName>
    <definedName name="Slicer_Region">#N/A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P12" i="1" l="1" a="1"/>
  <c r="CP12" i="1" s="1"/>
  <c r="N25" i="1"/>
  <c r="N26" i="1"/>
  <c r="N27" i="1"/>
  <c r="N28" i="1"/>
  <c r="N29" i="1"/>
  <c r="N30" i="1"/>
  <c r="N31" i="1"/>
  <c r="N32" i="1"/>
  <c r="N33" i="1"/>
  <c r="N34" i="1"/>
  <c r="N35" i="1"/>
  <c r="N36" i="1"/>
  <c r="N37" i="1"/>
  <c r="N38" i="1"/>
  <c r="N5" i="1"/>
  <c r="N6" i="1"/>
  <c r="N7" i="1"/>
  <c r="N8" i="1"/>
  <c r="N9" i="1"/>
  <c r="N10" i="1"/>
  <c r="N11" i="1"/>
  <c r="N12" i="1"/>
  <c r="N13" i="1"/>
  <c r="N14" i="1"/>
  <c r="N15" i="1"/>
  <c r="N16" i="1"/>
  <c r="N17" i="1"/>
  <c r="N18" i="1"/>
  <c r="N19" i="1"/>
  <c r="N20" i="1"/>
  <c r="N21" i="1"/>
  <c r="N22" i="1"/>
  <c r="N23" i="1"/>
  <c r="N24" i="1"/>
  <c r="N4" i="1"/>
  <c r="G36" i="1"/>
  <c r="G37" i="1"/>
  <c r="G14" i="1"/>
  <c r="G38" i="1"/>
  <c r="G11" i="1"/>
  <c r="G21" i="1"/>
  <c r="G22" i="1"/>
  <c r="G6" i="1"/>
  <c r="G23" i="1"/>
  <c r="G7" i="1"/>
  <c r="G30" i="1"/>
  <c r="G12" i="1"/>
  <c r="G31" i="1"/>
  <c r="G32" i="1"/>
  <c r="G33" i="1"/>
  <c r="G34" i="1"/>
  <c r="G18" i="1"/>
  <c r="G35" i="1"/>
  <c r="G8" i="1"/>
  <c r="G25" i="1"/>
  <c r="G16" i="1"/>
  <c r="G26" i="1"/>
  <c r="G4" i="1"/>
  <c r="G27" i="1"/>
  <c r="G28" i="1"/>
  <c r="G13" i="1"/>
  <c r="G15" i="1"/>
  <c r="G29" i="1"/>
  <c r="G17" i="1"/>
  <c r="G19" i="1"/>
  <c r="G20" i="1"/>
  <c r="G5" i="1"/>
  <c r="G9" i="1"/>
  <c r="G10" i="1"/>
  <c r="G24" i="1"/>
  <c r="F11" i="1"/>
  <c r="F21" i="1"/>
  <c r="F22" i="1"/>
  <c r="F6" i="1"/>
  <c r="F23" i="1"/>
  <c r="F7" i="1"/>
  <c r="F30" i="1"/>
  <c r="F12" i="1"/>
  <c r="F31" i="1"/>
  <c r="F32" i="1"/>
  <c r="F33" i="1"/>
  <c r="F34" i="1"/>
  <c r="F18" i="1"/>
  <c r="F35" i="1"/>
  <c r="F36" i="1"/>
  <c r="F37" i="1"/>
  <c r="F14" i="1"/>
  <c r="F38" i="1"/>
  <c r="F8" i="1"/>
  <c r="F25" i="1"/>
  <c r="F16" i="1"/>
  <c r="F26" i="1"/>
  <c r="F4" i="1"/>
  <c r="F27" i="1"/>
  <c r="F28" i="1"/>
  <c r="F13" i="1"/>
  <c r="F15" i="1"/>
  <c r="F29" i="1"/>
  <c r="F17" i="1"/>
  <c r="F19" i="1"/>
  <c r="F20" i="1"/>
  <c r="F5" i="1"/>
  <c r="F9" i="1"/>
  <c r="F10" i="1"/>
  <c r="F24" i="1"/>
  <c r="M12" i="1"/>
  <c r="M31" i="1"/>
  <c r="M32" i="1"/>
  <c r="M33" i="1"/>
  <c r="M34" i="1"/>
  <c r="M18" i="1"/>
  <c r="M35" i="1"/>
  <c r="M36" i="1"/>
  <c r="M37" i="1"/>
  <c r="M14" i="1"/>
  <c r="M38" i="1"/>
  <c r="M29" i="1"/>
  <c r="M17" i="1"/>
  <c r="M19" i="1"/>
  <c r="M20" i="1"/>
  <c r="M5" i="1"/>
  <c r="M9" i="1"/>
  <c r="M10" i="1"/>
  <c r="M11" i="1"/>
  <c r="M21" i="1"/>
  <c r="M22" i="1"/>
  <c r="M6" i="1"/>
  <c r="M23" i="1"/>
  <c r="M7" i="1"/>
  <c r="M30" i="1"/>
  <c r="M8" i="1"/>
  <c r="M25" i="1"/>
  <c r="M16" i="1"/>
  <c r="M26" i="1"/>
  <c r="M4" i="1"/>
  <c r="M27" i="1"/>
  <c r="M28" i="1"/>
  <c r="M13" i="1"/>
  <c r="M15" i="1"/>
  <c r="M24" i="1"/>
  <c r="L31" i="1"/>
  <c r="L32" i="1"/>
  <c r="L33" i="1"/>
  <c r="L34" i="1"/>
  <c r="L18" i="1"/>
  <c r="L35" i="1"/>
  <c r="L36" i="1"/>
  <c r="L37" i="1"/>
  <c r="L14" i="1"/>
  <c r="L38" i="1"/>
  <c r="L5" i="1"/>
  <c r="L9" i="1"/>
  <c r="L10" i="1"/>
  <c r="L11" i="1"/>
  <c r="L21" i="1"/>
  <c r="L22" i="1"/>
  <c r="L6" i="1"/>
  <c r="L23" i="1"/>
  <c r="L7" i="1"/>
  <c r="L30" i="1"/>
  <c r="L12" i="1"/>
  <c r="L8" i="1"/>
  <c r="L25" i="1"/>
  <c r="L16" i="1"/>
  <c r="L26" i="1"/>
  <c r="L4" i="1"/>
  <c r="L27" i="1"/>
  <c r="L28" i="1"/>
  <c r="L13" i="1"/>
  <c r="L15" i="1"/>
  <c r="L29" i="1"/>
  <c r="L17" i="1"/>
  <c r="L19" i="1"/>
  <c r="L20" i="1"/>
  <c r="L24" i="1"/>
  <c r="K17" i="1"/>
  <c r="K19" i="1"/>
  <c r="K20" i="1"/>
  <c r="K5" i="1"/>
  <c r="K9" i="1"/>
  <c r="K10" i="1"/>
  <c r="K11" i="1"/>
  <c r="K21" i="1"/>
  <c r="K22" i="1"/>
  <c r="K6" i="1"/>
  <c r="K23" i="1"/>
  <c r="K7" i="1"/>
  <c r="K30" i="1"/>
  <c r="K12" i="1"/>
  <c r="K31" i="1"/>
  <c r="K32" i="1"/>
  <c r="K33" i="1"/>
  <c r="K34" i="1"/>
  <c r="K18" i="1"/>
  <c r="K35" i="1"/>
  <c r="K36" i="1"/>
  <c r="K37" i="1"/>
  <c r="K14" i="1"/>
  <c r="K38" i="1"/>
  <c r="K8" i="1"/>
  <c r="K25" i="1"/>
  <c r="K16" i="1"/>
  <c r="K26" i="1"/>
  <c r="K4" i="1"/>
  <c r="K27" i="1"/>
  <c r="K28" i="1"/>
  <c r="K13" i="1"/>
  <c r="K15" i="1"/>
  <c r="K29" i="1"/>
  <c r="K24" i="1"/>
  <c r="C19" i="1"/>
  <c r="C20" i="1"/>
  <c r="C5" i="1"/>
  <c r="C9" i="1"/>
  <c r="C10" i="1"/>
  <c r="C11" i="1"/>
  <c r="C21" i="1"/>
  <c r="C22" i="1"/>
  <c r="C6" i="1"/>
  <c r="C23" i="1"/>
  <c r="C7" i="1"/>
  <c r="C30" i="1"/>
  <c r="C12" i="1"/>
  <c r="C31" i="1"/>
  <c r="C32" i="1"/>
  <c r="C33" i="1"/>
  <c r="C34" i="1"/>
  <c r="C18" i="1"/>
  <c r="C35" i="1"/>
  <c r="C36" i="1"/>
  <c r="C37" i="1"/>
  <c r="C14" i="1"/>
  <c r="C38" i="1"/>
  <c r="C8" i="1"/>
  <c r="C25" i="1"/>
  <c r="C16" i="1"/>
  <c r="C26" i="1"/>
  <c r="C4" i="1"/>
  <c r="C27" i="1"/>
  <c r="C28" i="1"/>
  <c r="C13" i="1"/>
  <c r="C15" i="1"/>
  <c r="C29" i="1"/>
  <c r="C17" i="1"/>
  <c r="C24"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<sst xmlns="http://schemas.openxmlformats.org/spreadsheetml/2006/main" count="284" uniqueCount="164">
  <si>
    <t>Emp ID</t>
  </si>
  <si>
    <t>Full Name</t>
  </si>
  <si>
    <t>Email</t>
  </si>
  <si>
    <t>Date of Hire</t>
  </si>
  <si>
    <t>Department</t>
  </si>
  <si>
    <t>Location</t>
  </si>
  <si>
    <t>DECKER</t>
  </si>
  <si>
    <t>BARRY</t>
  </si>
  <si>
    <t>COLE</t>
  </si>
  <si>
    <t>Daniel</t>
  </si>
  <si>
    <t>CHAFFEE</t>
  </si>
  <si>
    <t>Adam</t>
  </si>
  <si>
    <t>Facilities</t>
  </si>
  <si>
    <t>DONNELL</t>
  </si>
  <si>
    <t>Susan</t>
  </si>
  <si>
    <t>Accounting</t>
  </si>
  <si>
    <t>Elizabeth</t>
  </si>
  <si>
    <t>Human Resources</t>
  </si>
  <si>
    <t>ELLIS</t>
  </si>
  <si>
    <t>Janet</t>
  </si>
  <si>
    <t>CHUNG</t>
  </si>
  <si>
    <t>Bob</t>
  </si>
  <si>
    <t>FLANDERS</t>
  </si>
  <si>
    <t>Sabrina</t>
  </si>
  <si>
    <t>CLARK</t>
  </si>
  <si>
    <t>BOLLER</t>
  </si>
  <si>
    <t>Mary</t>
  </si>
  <si>
    <t>CAROL</t>
  </si>
  <si>
    <t>Executive</t>
  </si>
  <si>
    <t>Joe</t>
  </si>
  <si>
    <t>Customer Service</t>
  </si>
  <si>
    <t>COMUNTZIS</t>
  </si>
  <si>
    <t>Mark</t>
  </si>
  <si>
    <t>FILOSA</t>
  </si>
  <si>
    <t>Alexandra</t>
  </si>
  <si>
    <t>FERRIS</t>
  </si>
  <si>
    <t>Jim</t>
  </si>
  <si>
    <t>CHU</t>
  </si>
  <si>
    <t>Fred</t>
  </si>
  <si>
    <t>BINGA</t>
  </si>
  <si>
    <t>DESIATO</t>
  </si>
  <si>
    <t>Barbara</t>
  </si>
  <si>
    <t>Tina</t>
  </si>
  <si>
    <t>Carlton</t>
  </si>
  <si>
    <t>Samantha</t>
  </si>
  <si>
    <t>Chairs</t>
  </si>
  <si>
    <t>Mihael</t>
  </si>
  <si>
    <t>Khan</t>
  </si>
  <si>
    <t>Phoebe</t>
  </si>
  <si>
    <t>Gour</t>
  </si>
  <si>
    <t>Leighton</t>
  </si>
  <si>
    <t>Forrest</t>
  </si>
  <si>
    <t>Natasha</t>
  </si>
  <si>
    <t>Song</t>
  </si>
  <si>
    <t>Aanya</t>
  </si>
  <si>
    <t>Zhang</t>
  </si>
  <si>
    <t>Connor</t>
  </si>
  <si>
    <t>Betts</t>
  </si>
  <si>
    <t>Yvette</t>
  </si>
  <si>
    <t>Biti</t>
  </si>
  <si>
    <t>Charlie</t>
  </si>
  <si>
    <t>Bui</t>
  </si>
  <si>
    <t>Stevie</t>
  </si>
  <si>
    <t>Nicholas</t>
  </si>
  <si>
    <t>Fernandes</t>
  </si>
  <si>
    <t>Radhya</t>
  </si>
  <si>
    <t>Staples</t>
  </si>
  <si>
    <t>Preston</t>
  </si>
  <si>
    <t>Senome</t>
  </si>
  <si>
    <t>Sales</t>
  </si>
  <si>
    <t>Eric</t>
  </si>
  <si>
    <t>Mei</t>
  </si>
  <si>
    <t>WANG</t>
  </si>
  <si>
    <t>ANNA</t>
  </si>
  <si>
    <t>Sean</t>
  </si>
  <si>
    <t>SANDERS</t>
  </si>
  <si>
    <t>elizabeth</t>
  </si>
  <si>
    <t>IT</t>
  </si>
  <si>
    <t>Uma</t>
  </si>
  <si>
    <t>CHAUDRI</t>
  </si>
  <si>
    <t>Wing</t>
  </si>
  <si>
    <t>ZenCo HR Database</t>
  </si>
  <si>
    <t>Bacata</t>
  </si>
  <si>
    <t>02-West-2635 </t>
  </si>
  <si>
    <t>02-West-2018 </t>
  </si>
  <si>
    <t>02-NorthEast-2347 </t>
  </si>
  <si>
    <t>03-West-2764 </t>
  </si>
  <si>
    <t>03-East-2318 </t>
  </si>
  <si>
    <t>02-East-2694 </t>
  </si>
  <si>
    <t>02-West-2699 </t>
  </si>
  <si>
    <t>01-East-2321 </t>
  </si>
  <si>
    <t>03-West-2432 </t>
  </si>
  <si>
    <t>02-West-2962 </t>
  </si>
  <si>
    <t>01-West-2425 </t>
  </si>
  <si>
    <t>03-West-2796 </t>
  </si>
  <si>
    <t>03-West-2601 </t>
  </si>
  <si>
    <t>02-NorthEast-2414 </t>
  </si>
  <si>
    <t>02-West-2537 </t>
  </si>
  <si>
    <t>02-West-2286 </t>
  </si>
  <si>
    <t>01-East-2358 </t>
  </si>
  <si>
    <t>03-West-2082 </t>
  </si>
  <si>
    <t>03-NorthEast-2482 </t>
  </si>
  <si>
    <t>02-East-2372 </t>
  </si>
  <si>
    <t>03-East-2392 </t>
  </si>
  <si>
    <t>02-West-2279 </t>
  </si>
  <si>
    <t>02-East-2639 </t>
  </si>
  <si>
    <t>02-East-2284 </t>
  </si>
  <si>
    <t>02-East-2910 </t>
  </si>
  <si>
    <t>02-NorthEast-2294 </t>
  </si>
  <si>
    <t>03-West-2765 </t>
  </si>
  <si>
    <t>02-East-2260 </t>
  </si>
  <si>
    <t>02-East-2578 </t>
  </si>
  <si>
    <t>02-East-2654 </t>
  </si>
  <si>
    <t>01-West-2783 </t>
  </si>
  <si>
    <t>02-East-2793 </t>
  </si>
  <si>
    <t>02-West-2589 _x001F_</t>
  </si>
  <si>
    <t>03-East-2134 _x001F_</t>
  </si>
  <si>
    <t>01-East-2086 _x001F_</t>
  </si>
  <si>
    <t>Instructions</t>
  </si>
  <si>
    <t>1)</t>
  </si>
  <si>
    <t>b)</t>
  </si>
  <si>
    <t>2)</t>
  </si>
  <si>
    <t>Hint</t>
  </si>
  <si>
    <t>Floor No.</t>
  </si>
  <si>
    <t>Last Name</t>
  </si>
  <si>
    <t>First Name</t>
  </si>
  <si>
    <t>Full/Part Time</t>
  </si>
  <si>
    <t>F</t>
  </si>
  <si>
    <t>P</t>
  </si>
  <si>
    <t>Emp No.</t>
  </si>
  <si>
    <t>5a)</t>
  </si>
  <si>
    <t>6a)</t>
  </si>
  <si>
    <t>3a)</t>
  </si>
  <si>
    <t>4a)</t>
  </si>
  <si>
    <t>You will notice that instead of getting four numbers you only got 3 or in some cases 2, adjust the formula so that you get the 4 digit extension code in each case.</t>
  </si>
  <si>
    <t xml:space="preserve">Extension </t>
  </si>
  <si>
    <t>The finished sheet should look like this:</t>
  </si>
  <si>
    <t>Week 1 Practice Challenge</t>
  </si>
  <si>
    <r>
      <t xml:space="preserve">All the following instructions are to be carried out in the </t>
    </r>
    <r>
      <rPr>
        <b/>
        <sz val="11"/>
        <color theme="1"/>
        <rFont val="Calibri"/>
        <family val="2"/>
        <scheme val="minor"/>
      </rPr>
      <t>HR Data</t>
    </r>
    <r>
      <rPr>
        <sz val="11"/>
        <color theme="1"/>
        <rFont val="Calibri"/>
        <family val="2"/>
        <scheme val="minor"/>
      </rPr>
      <t xml:space="preserve"> sheet. To get help with the more difficult questions click on the </t>
    </r>
    <r>
      <rPr>
        <b/>
        <sz val="11"/>
        <color theme="1"/>
        <rFont val="Calibri"/>
        <family val="2"/>
        <scheme val="minor"/>
      </rPr>
      <t>Hint</t>
    </r>
    <r>
      <rPr>
        <sz val="11"/>
        <color theme="1"/>
        <rFont val="Calibri"/>
        <family val="2"/>
        <scheme val="minor"/>
      </rPr>
      <t xml:space="preserve"> to the right.</t>
    </r>
  </si>
  <si>
    <r>
      <t xml:space="preserve">In </t>
    </r>
    <r>
      <rPr>
        <b/>
        <sz val="11"/>
        <color theme="1"/>
        <rFont val="Calibri"/>
        <family val="2"/>
        <scheme val="minor"/>
      </rPr>
      <t>C4</t>
    </r>
    <r>
      <rPr>
        <sz val="11"/>
        <color theme="1"/>
        <rFont val="Calibri"/>
        <family val="2"/>
        <scheme val="minor"/>
      </rPr>
      <t xml:space="preserve">, in the HR Data sheet join the data in </t>
    </r>
    <r>
      <rPr>
        <b/>
        <sz val="11"/>
        <color theme="1"/>
        <rFont val="Calibri"/>
        <family val="2"/>
        <scheme val="minor"/>
      </rPr>
      <t>A4</t>
    </r>
    <r>
      <rPr>
        <sz val="11"/>
        <color theme="1"/>
        <rFont val="Calibri"/>
        <family val="2"/>
        <scheme val="minor"/>
      </rPr>
      <t xml:space="preserve"> and </t>
    </r>
    <r>
      <rPr>
        <b/>
        <sz val="11"/>
        <color theme="1"/>
        <rFont val="Calibri"/>
        <family val="2"/>
        <scheme val="minor"/>
      </rPr>
      <t>B4</t>
    </r>
    <r>
      <rPr>
        <sz val="11"/>
        <color theme="1"/>
        <rFont val="Calibri"/>
        <family val="2"/>
        <scheme val="minor"/>
      </rPr>
      <t xml:space="preserve"> to create the employee ID </t>
    </r>
    <r>
      <rPr>
        <b/>
        <sz val="11"/>
        <color theme="1"/>
        <rFont val="Calibri"/>
        <family val="2"/>
        <scheme val="minor"/>
      </rPr>
      <t>F1180</t>
    </r>
    <r>
      <rPr>
        <sz val="11"/>
        <color theme="1"/>
        <rFont val="Calibri"/>
        <family val="2"/>
        <scheme val="minor"/>
      </rPr>
      <t>. Copy the formula down for the rest of the staff.</t>
    </r>
  </si>
  <si>
    <r>
      <t xml:space="preserve">In </t>
    </r>
    <r>
      <rPr>
        <b/>
        <sz val="11"/>
        <color theme="1"/>
        <rFont val="Calibri"/>
        <family val="2"/>
        <scheme val="minor"/>
      </rPr>
      <t>F4</t>
    </r>
    <r>
      <rPr>
        <sz val="11"/>
        <color theme="1"/>
        <rFont val="Calibri"/>
        <family val="2"/>
        <scheme val="minor"/>
      </rPr>
      <t>, generate the full name for each staff member by joining the first name, a space and the surname.</t>
    </r>
  </si>
  <si>
    <r>
      <t xml:space="preserve">Adjust the formula in </t>
    </r>
    <r>
      <rPr>
        <b/>
        <sz val="11"/>
        <color theme="1"/>
        <rFont val="Calibri"/>
        <family val="2"/>
        <scheme val="minor"/>
      </rPr>
      <t>L4</t>
    </r>
    <r>
      <rPr>
        <sz val="11"/>
        <color theme="1"/>
        <rFont val="Calibri"/>
        <family val="2"/>
        <scheme val="minor"/>
      </rPr>
      <t xml:space="preserve"> so that all instances of </t>
    </r>
    <r>
      <rPr>
        <b/>
        <sz val="11"/>
        <color theme="1"/>
        <rFont val="Calibri"/>
        <family val="2"/>
        <scheme val="minor"/>
      </rPr>
      <t>NorthEast</t>
    </r>
    <r>
      <rPr>
        <sz val="11"/>
        <color theme="1"/>
        <rFont val="Calibri"/>
        <family val="2"/>
        <scheme val="minor"/>
      </rPr>
      <t xml:space="preserve"> are replaced with just </t>
    </r>
    <r>
      <rPr>
        <b/>
        <sz val="11"/>
        <color theme="1"/>
        <rFont val="Calibri"/>
        <family val="2"/>
        <scheme val="minor"/>
      </rPr>
      <t>North</t>
    </r>
    <r>
      <rPr>
        <sz val="11"/>
        <color theme="1"/>
        <rFont val="Calibri"/>
        <family val="2"/>
        <scheme val="minor"/>
      </rPr>
      <t xml:space="preserve"> and copy down again.</t>
    </r>
  </si>
  <si>
    <r>
      <t xml:space="preserve">In </t>
    </r>
    <r>
      <rPr>
        <b/>
        <sz val="11"/>
        <color theme="1"/>
        <rFont val="Calibri"/>
        <family val="2"/>
        <scheme val="minor"/>
      </rPr>
      <t>G4</t>
    </r>
    <r>
      <rPr>
        <sz val="11"/>
        <color theme="1"/>
        <rFont val="Calibri"/>
        <family val="2"/>
        <scheme val="minor"/>
      </rPr>
      <t>, generate an email address by joining  the first letter of the first name, the surname and "@zenco.com" to get Sbacata@zenco.com.</t>
    </r>
  </si>
  <si>
    <r>
      <t xml:space="preserve">In </t>
    </r>
    <r>
      <rPr>
        <b/>
        <sz val="11"/>
        <color theme="1"/>
        <rFont val="Calibri"/>
        <family val="2"/>
        <scheme val="minor"/>
      </rPr>
      <t>L4</t>
    </r>
    <r>
      <rPr>
        <sz val="11"/>
        <color theme="1"/>
        <rFont val="Calibri"/>
        <family val="2"/>
        <scheme val="minor"/>
      </rPr>
      <t>, extract the text between the two dashes (</t>
    </r>
    <r>
      <rPr>
        <b/>
        <sz val="11"/>
        <color theme="1"/>
        <rFont val="Calibri"/>
        <family val="2"/>
        <scheme val="minor"/>
      </rPr>
      <t>West</t>
    </r>
    <r>
      <rPr>
        <sz val="11"/>
        <color theme="1"/>
        <rFont val="Calibri"/>
        <family val="2"/>
        <scheme val="minor"/>
      </rPr>
      <t>) in Location then copy down to make sure it works for all staff.</t>
    </r>
  </si>
  <si>
    <r>
      <t xml:space="preserve">In </t>
    </r>
    <r>
      <rPr>
        <b/>
        <sz val="11"/>
        <color theme="1"/>
        <rFont val="Calibri"/>
        <family val="2"/>
        <scheme val="minor"/>
      </rPr>
      <t>M4</t>
    </r>
    <r>
      <rPr>
        <sz val="11"/>
        <color theme="1"/>
        <rFont val="Calibri"/>
        <family val="2"/>
        <scheme val="minor"/>
      </rPr>
      <t xml:space="preserve">, extract the last 4 characters from the </t>
    </r>
    <r>
      <rPr>
        <b/>
        <sz val="11"/>
        <color theme="1"/>
        <rFont val="Calibri"/>
        <family val="2"/>
        <scheme val="minor"/>
      </rPr>
      <t>Location</t>
    </r>
    <r>
      <rPr>
        <sz val="11"/>
        <color theme="1"/>
        <rFont val="Calibri"/>
        <family val="2"/>
        <scheme val="minor"/>
      </rPr>
      <t xml:space="preserve"> in </t>
    </r>
    <r>
      <rPr>
        <b/>
        <sz val="11"/>
        <color theme="1"/>
        <rFont val="Calibri"/>
        <family val="2"/>
        <scheme val="minor"/>
      </rPr>
      <t>J4</t>
    </r>
    <r>
      <rPr>
        <sz val="11"/>
        <color theme="1"/>
        <rFont val="Calibri"/>
        <family val="2"/>
        <scheme val="minor"/>
      </rPr>
      <t>.</t>
    </r>
  </si>
  <si>
    <r>
      <t xml:space="preserve">In </t>
    </r>
    <r>
      <rPr>
        <b/>
        <sz val="11"/>
        <color theme="1"/>
        <rFont val="Calibri"/>
        <family val="2"/>
        <scheme val="minor"/>
      </rPr>
      <t>K4</t>
    </r>
    <r>
      <rPr>
        <sz val="11"/>
        <color theme="1"/>
        <rFont val="Calibri"/>
        <family val="2"/>
        <scheme val="minor"/>
      </rPr>
      <t xml:space="preserve">, extract just the floor number from </t>
    </r>
    <r>
      <rPr>
        <b/>
        <sz val="11"/>
        <color theme="1"/>
        <rFont val="Calibri"/>
        <family val="2"/>
        <scheme val="minor"/>
      </rPr>
      <t>J4</t>
    </r>
    <r>
      <rPr>
        <sz val="11"/>
        <color theme="1"/>
        <rFont val="Calibri"/>
        <family val="2"/>
        <scheme val="minor"/>
      </rPr>
      <t xml:space="preserve"> (first 2 numbers) and then copy it down.</t>
    </r>
  </si>
  <si>
    <r>
      <t xml:space="preserve">Add another function to the calculation in </t>
    </r>
    <r>
      <rPr>
        <b/>
        <sz val="11"/>
        <color theme="1"/>
        <rFont val="Calibri"/>
        <family val="2"/>
        <scheme val="minor"/>
      </rPr>
      <t>F4</t>
    </r>
    <r>
      <rPr>
        <sz val="11"/>
        <color theme="1"/>
        <rFont val="Calibri"/>
        <family val="2"/>
        <scheme val="minor"/>
      </rPr>
      <t xml:space="preserve"> so that all the names show in Proper case and then copy the calculation down.</t>
    </r>
  </si>
  <si>
    <r>
      <t xml:space="preserve">Adjust the calculation in </t>
    </r>
    <r>
      <rPr>
        <b/>
        <sz val="11"/>
        <color theme="1"/>
        <rFont val="Calibri"/>
        <family val="2"/>
        <scheme val="minor"/>
      </rPr>
      <t>G4</t>
    </r>
    <r>
      <rPr>
        <sz val="11"/>
        <color theme="1"/>
        <rFont val="Calibri"/>
        <family val="2"/>
        <scheme val="minor"/>
      </rPr>
      <t xml:space="preserve"> so that the email is shown in all lower case and copy it down.</t>
    </r>
  </si>
  <si>
    <t>Excel Skills for Data Analytics and Visualization</t>
  </si>
  <si>
    <t>Course 1 — Excel Fundamentals for Data Analysis</t>
  </si>
  <si>
    <t xml:space="preserve">7) </t>
  </si>
  <si>
    <t>Make  one Macro enabled Dashboard .</t>
  </si>
  <si>
    <t>Sum of Emp No.</t>
  </si>
  <si>
    <t>Row Labels</t>
  </si>
  <si>
    <t>Grand Total</t>
  </si>
  <si>
    <t>01</t>
  </si>
  <si>
    <t>02</t>
  </si>
  <si>
    <t>03</t>
  </si>
  <si>
    <t>Count of Emp No.</t>
  </si>
  <si>
    <t>Region</t>
  </si>
  <si>
    <t>East</t>
  </si>
  <si>
    <t>North</t>
  </si>
  <si>
    <t>West</t>
  </si>
  <si>
    <t>Count of Full/Part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</si>
</sst>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2" x14ac:knownFonts="1">
    <font>
      <sz val="11"/>
      <color theme="1"/>
      <name val="Calibri"/>
      <family val="2"/>
      <scheme val="minor"/>
    </font>
    <font>
      <sz val="18"/>
      <color theme="3"/>
      <name val="Calibri Light"/>
      <family val="2"/>
      <scheme val="major"/>
    </font>
    <font>
      <sz val="11"/>
      <color theme="0"/>
      <name val="Calibri"/>
      <family val="2"/>
      <scheme val="minor"/>
    </font>
    <font>
      <sz val="11"/>
      <name val="Calibri"/>
      <family val="2"/>
      <scheme val="minor"/>
    </font>
    <font>
      <sz val="12"/>
      <color theme="0"/>
      <name val="Calibri"/>
      <family val="2"/>
      <scheme val="minor"/>
    </font>
    <font>
      <sz val="11"/>
      <color rgb="FF000000"/>
      <name val="Calibri"/>
      <family val="2"/>
      <scheme val="minor"/>
    </font>
    <font>
      <b/>
      <sz val="11"/>
      <color theme="1"/>
      <name val="Calibri"/>
      <family val="2"/>
      <scheme val="minor"/>
    </font>
    <font>
      <sz val="14"/>
      <color theme="1"/>
      <name val="Calibri"/>
      <family val="2"/>
      <scheme val="minor"/>
    </font>
    <font>
      <sz val="16"/>
      <color theme="1"/>
      <name val="Calibri"/>
      <family val="2"/>
      <scheme val="minor"/>
    </font>
    <font>
      <sz val="24"/>
      <color theme="1"/>
      <name val="Calibri"/>
      <family val="2"/>
      <scheme val="minor"/>
    </font>
    <font>
      <b/>
      <sz val="14"/>
      <color theme="1"/>
      <name val="Calibri"/>
      <family val="2"/>
      <scheme val="minor"/>
    </font>
    <font>
      <sz val="11"/>
      <color rgb="FFC00000"/>
      <name val="Calibri"/>
      <family val="2"/>
      <scheme val="minor"/>
    </font>
  </fonts>
  <fills count="5">
    <fill>
      <patternFill patternType="none"/>
    </fill>
    <fill>
      <patternFill patternType="gray125"/>
    </fill>
    <fill>
      <patternFill patternType="solid">
        <fgColor theme="4"/>
      </patternFill>
    </fill>
    <fill>
      <patternFill patternType="solid">
        <fgColor theme="0" tint="-4.9989318521683403E-2"/>
        <bgColor indexed="64"/>
      </patternFill>
    </fill>
    <fill>
      <patternFill patternType="solid">
        <fgColor theme="4"/>
        <bgColor indexed="64"/>
      </patternFill>
    </fill>
  </fills>
  <borders count="2">
    <border>
      <left/>
      <right/>
      <top/>
      <bottom/>
      <diagonal/>
    </border>
    <border>
      <left/>
      <right/>
      <top/>
      <bottom style="medium">
        <color indexed="64"/>
      </bottom>
      <diagonal/>
    </border>
  </borders>
  <cellStyleXfs count="3">
    <xf numFmtId="0" fontId="0" fillId="0" borderId="0"/>
    <xf numFmtId="0" fontId="1" fillId="0" borderId="0" applyNumberFormat="0" applyFill="0" applyBorder="0" applyAlignment="0" applyProtection="0"/>
    <xf numFmtId="0" fontId="2" fillId="2" borderId="0" applyNumberFormat="0" applyBorder="0" applyAlignment="0" applyProtection="0"/>
  </cellStyleXfs>
  <cellXfs count="19">
    <xf numFmtId="0" fontId="0" fillId="0" borderId="0" xfId="0"/>
    <xf numFmtId="14" fontId="0" fillId="0" borderId="0" xfId="0" applyNumberFormat="1"/>
    <xf numFmtId="0" fontId="3" fillId="0" borderId="0" xfId="0" applyFont="1" applyAlignment="1">
      <alignment horizontal="left" wrapText="1"/>
    </xf>
    <xf numFmtId="0" fontId="1" fillId="0" borderId="0" xfId="1"/>
    <xf numFmtId="0" fontId="4" fillId="2" borderId="0" xfId="2" applyFont="1" applyBorder="1" applyAlignment="1">
      <alignment horizontal="left" wrapText="1"/>
    </xf>
    <xf numFmtId="0" fontId="5" fillId="0" borderId="0" xfId="0" applyFont="1" applyAlignment="1">
      <alignment wrapText="1"/>
    </xf>
    <xf numFmtId="0" fontId="0" fillId="0" borderId="1" xfId="0" applyBorder="1"/>
    <xf numFmtId="0" fontId="0" fillId="0" borderId="0" xfId="0" applyAlignment="1">
      <alignment horizontal="right"/>
    </xf>
    <xf numFmtId="0" fontId="11" fillId="0" borderId="0" xfId="0" applyFont="1" applyAlignment="1">
      <alignment horizontal="right"/>
    </xf>
    <xf numFmtId="0" fontId="1" fillId="0" borderId="0" xfId="1" applyAlignment="1">
      <alignment horizontal="left"/>
    </xf>
    <xf numFmtId="0" fontId="0" fillId="0" borderId="0" xfId="0" applyAlignment="1">
      <alignment horizontal="left"/>
    </xf>
    <xf numFmtId="0" fontId="7" fillId="0" borderId="1" xfId="0" applyFont="1" applyBorder="1" applyAlignment="1">
      <alignment horizontal="left"/>
    </xf>
    <xf numFmtId="0" fontId="0" fillId="0" borderId="0" xfId="0" pivotButton="1"/>
    <xf numFmtId="0" fontId="2" fillId="4" borderId="0" xfId="0" applyFont="1" applyFill="1"/>
    <xf numFmtId="0" fontId="0" fillId="0" borderId="0" xfId="0" applyAlignment="1">
      <alignment horizontal="left" indent="1"/>
    </xf>
    <xf numFmtId="0" fontId="10" fillId="3" borderId="0" xfId="0" applyFont="1" applyFill="1" applyAlignment="1">
      <alignment horizontal="center" vertical="center"/>
    </xf>
    <xf numFmtId="0" fontId="9" fillId="0" borderId="0" xfId="0" applyFont="1" applyAlignment="1">
      <alignment horizontal="center"/>
    </xf>
    <xf numFmtId="0" fontId="8" fillId="0" borderId="0" xfId="0" applyFont="1" applyAlignment="1">
      <alignment horizontal="center"/>
    </xf>
    <xf numFmtId="0" fontId="0" fillId="0" borderId="0" xfId="0" applyNumberFormat="1"/>
  </cellXfs>
  <cellStyles count="3">
    <cellStyle name="Accent1" xfId="2" builtinId="29"/>
    <cellStyle name="Normal" xfId="0" builtinId="0"/>
    <cellStyle name="Title" xfId="1" builtinId="15"/>
  </cellStyles>
  <dxfs count="0"/>
  <tableStyles count="1" defaultTableStyle="TableStyleMedium2" defaultPivotStyle="PivotStyleLight16">
    <tableStyle name="Invisible" pivot="0" table="0" count="0" xr9:uid="{C7AB5486-B880-4551-9DA1-A17A715336B9}"/>
  </tableStyles>
  <colors>
    <mruColors>
      <color rgb="FFFF3300"/>
      <color rgb="FFEA5614"/>
      <color rgb="FF99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2.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[C1W1 Practice Challenge (1).xlsx]HR Data!PivotTable1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Employees by Department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'HR Data'!$V$4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'HR Data'!$U$5:$U$12</c:f>
              <c:strCache>
                <c:ptCount val="7"/>
                <c:pt idx="0">
                  <c:v>Accounting</c:v>
                </c:pt>
                <c:pt idx="1">
                  <c:v>Customer Service</c:v>
                </c:pt>
                <c:pt idx="2">
                  <c:v>Executive</c:v>
                </c:pt>
                <c:pt idx="3">
                  <c:v>Facilities</c:v>
                </c:pt>
                <c:pt idx="4">
                  <c:v>Human Resources</c:v>
                </c:pt>
                <c:pt idx="5">
                  <c:v>IT</c:v>
                </c:pt>
                <c:pt idx="6">
                  <c:v>Sales</c:v>
                </c:pt>
              </c:strCache>
            </c:strRef>
          </c:cat>
          <c:val>
            <c:numRef>
              <c:f>'HR Data'!$V$5:$V$12</c:f>
              <c:numCache>
                <c:formatCode>General</c:formatCode>
                <c:ptCount val="7"/>
                <c:pt idx="0">
                  <c:v>4</c:v>
                </c:pt>
                <c:pt idx="1">
                  <c:v>5</c:v>
                </c:pt>
                <c:pt idx="2">
                  <c:v>2</c:v>
                </c:pt>
                <c:pt idx="3">
                  <c:v>1</c:v>
                </c:pt>
                <c:pt idx="4">
                  <c:v>3</c:v>
                </c:pt>
                <c:pt idx="5">
                  <c:v>5</c:v>
                </c:pt>
                <c:pt idx="6">
                  <c:v>15</c:v>
                </c:pt>
              </c:numCache>
            </c:numRef>
          </c:val>
          <c:extLst>
            <c:ext xmlns:c16="http://schemas.microsoft.com/office/drawing/2014/chart" uri="{C3380CC4-5D6E-409C-BE32-E72D297353CC}">
              <c16:uniqueId val="{00000000-E704-47C8-BEB4-3DD6BE4CF4AF}"/>
            </c:ext>
          </c:extLst>
        </c:ser>
        <c:dLbls>
          <c:dLblPos val="outEnd"/>
          <c:showLegendKey val="0"/>
          <c:showVal val="1"/>
          <c:showCatName val="0"/>
          <c:showSerName val="0"/>
          <c:showPercent val="0"/>
          <c:showBubbleSize val="0"/>
        </c:dLbls>
        <c:gapWidth val="182"/>
        <c:axId val="734655008"/>
        <c:axId val="734655488"/>
      </c:barChart>
      <c:catAx>
        <c:axId val="734655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4655488"/>
        <c:crosses val="autoZero"/>
        <c:auto val="1"/>
        <c:lblAlgn val="ctr"/>
        <c:lblOffset val="100"/>
        <c:noMultiLvlLbl val="0"/>
      </c:catAx>
      <c:valAx>
        <c:axId val="7346554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4655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[C1W1 Practice Challenge (1).xlsx]HR Data!PivotTable3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FULL-TIME vs PART-TIME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'HR Data'!$AA$4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'HR Data'!$Z$5:$Z$7</c:f>
              <c:strCache>
                <c:ptCount val="2"/>
                <c:pt idx="0">
                  <c:v>F</c:v>
                </c:pt>
                <c:pt idx="1">
                  <c:v>P</c:v>
                </c:pt>
              </c:strCache>
            </c:strRef>
          </c:cat>
          <c:val>
            <c:numRef>
              <c:f>'HR Data'!$AA$5:$AA$7</c:f>
              <c:numCache>
                <c:formatCode>General</c:formatCode>
                <c:ptCount val="2"/>
                <c:pt idx="0">
                  <c:v>20227</c:v>
                </c:pt>
                <c:pt idx="1">
                  <c:v>21635</c:v>
                </c:pt>
              </c:numCache>
            </c:numRef>
          </c:val>
          <c:extLst>
            <c:ext xmlns:c16="http://schemas.microsoft.com/office/drawing/2014/chart" uri="{C3380CC4-5D6E-409C-BE32-E72D297353CC}">
              <c16:uniqueId val="{00000000-46C6-4FF1-9670-F861C37DF1CD}"/>
            </c:ext>
          </c:extLst>
        </c:ser>
        <c:dLbls>
          <c:dLblPos val="inEnd"/>
          <c:showLegendKey val="0"/>
          <c:showVal val="1"/>
          <c:showCatName val="0"/>
          <c:showSerName val="0"/>
          <c:showPercent val="0"/>
          <c:showBubbleSize val="0"/>
        </c:dLbls>
        <c:gapWidth val="150"/>
        <c:overlap val="100"/>
        <c:axId val="1148321167"/>
        <c:axId val="1148321647"/>
      </c:barChart>
      <c:catAx>
        <c:axId val="1148321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8321647"/>
        <c:crosses val="autoZero"/>
        <c:auto val="1"/>
        <c:lblAlgn val="ctr"/>
        <c:lblOffset val="100"/>
        <c:noMultiLvlLbl val="0"/>
      </c:catAx>
      <c:valAx>
        <c:axId val="1148321647"/>
        <c:scaling>
          <c:orientation val="minMax"/>
        </c:scaling>
        <c:delete val="1"/>
        <c:axPos val="l"/>
        <c:numFmt formatCode="General" sourceLinked="1"/>
        <c:majorTickMark val="none"/>
        <c:minorTickMark val="none"/>
        <c:tickLblPos val="nextTo"/>
        <c:crossAx val="1148321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[C1W1 Practice Challenge (1).xlsx]HR Data!PivotTable4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EMPLOYEES BY FLOOR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'HR Data'!$AE$4</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'HR Data'!$AD$5:$AD$8</c:f>
              <c:strCache>
                <c:ptCount val="3"/>
                <c:pt idx="0">
                  <c:v>01</c:v>
                </c:pt>
                <c:pt idx="1">
                  <c:v>02</c:v>
                </c:pt>
                <c:pt idx="2">
                  <c:v>03</c:v>
                </c:pt>
              </c:strCache>
            </c:strRef>
          </c:cat>
          <c:val>
            <c:numRef>
              <c:f>'HR Data'!$AE$5:$AE$8</c:f>
              <c:numCache>
                <c:formatCode>General</c:formatCode>
                <c:ptCount val="3"/>
                <c:pt idx="0">
                  <c:v>5884</c:v>
                </c:pt>
                <c:pt idx="1">
                  <c:v>23965</c:v>
                </c:pt>
                <c:pt idx="2">
                  <c:v>12013</c:v>
                </c:pt>
              </c:numCache>
            </c:numRef>
          </c:val>
          <c:smooth val="0"/>
          <c:extLst>
            <c:ext xmlns:c16="http://schemas.microsoft.com/office/drawing/2014/chart" uri="{C3380CC4-5D6E-409C-BE32-E72D297353CC}">
              <c16:uniqueId val="{00000000-9928-4FC1-99EC-E7C6E2A762C1}"/>
            </c:ext>
          </c:extLst>
        </c:ser>
        <c:dLbls>
          <c:dLblPos val="t"/>
          <c:showLegendKey val="0"/>
          <c:showVal val="1"/>
          <c:showCatName val="0"/>
          <c:showSerName val="0"/>
          <c:showPercent val="0"/>
          <c:showBubbleSize val="0"/>
        </c:dLbls>
        <c:smooth val="0"/>
        <c:axId val="1221471295"/>
        <c:axId val="1221457855"/>
      </c:lineChart>
      <c:catAx>
        <c:axId val="1221471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1457855"/>
        <c:crosses val="autoZero"/>
        <c:auto val="1"/>
        <c:lblAlgn val="ctr"/>
        <c:lblOffset val="100"/>
        <c:noMultiLvlLbl val="0"/>
      </c:catAx>
      <c:valAx>
        <c:axId val="1221457855"/>
        <c:scaling>
          <c:orientation val="minMax"/>
        </c:scaling>
        <c:delete val="1"/>
        <c:axPos val="l"/>
        <c:numFmt formatCode="General" sourceLinked="1"/>
        <c:majorTickMark val="none"/>
        <c:minorTickMark val="none"/>
        <c:tickLblPos val="nextTo"/>
        <c:crossAx val="1221471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[C1W1 Practice Challenge (1).xlsx]HR Data!PivotTable6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Full-Time vs Part-Time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'HR Data'!$BA$4</c:f>
              <c:strCache>
                <c:ptCount val="1"/>
                <c:pt idx="0">
                  <c:v>Total</c:v>
                </c:pt>
              </c:strCache>
            </c:strRef>
          </c:tx>
          <c:explosion val="3"/>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C1A-4157-B74B-F11E40F0CF9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C1A-4157-B74B-F11E40F0CF9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C1A-4157-B74B-F11E40F0CF93}"/>
              </c:ext>
            </c:extLst>
          </c:dPt>
          <c:cat>
            <c:strRef>
              <c:f>'HR Data'!$AZ$5:$AZ$8</c:f>
              <c:strCache>
                <c:ptCount val="3"/>
                <c:pt idx="0">
                  <c:v>East</c:v>
                </c:pt>
                <c:pt idx="1">
                  <c:v>North</c:v>
                </c:pt>
                <c:pt idx="2">
                  <c:v>West</c:v>
                </c:pt>
              </c:strCache>
            </c:strRef>
          </c:cat>
          <c:val>
            <c:numRef>
              <c:f>'HR Data'!$BA$5:$BA$8</c:f>
              <c:numCache>
                <c:formatCode>General</c:formatCode>
                <c:ptCount val="3"/>
                <c:pt idx="0">
                  <c:v>15</c:v>
                </c:pt>
                <c:pt idx="1">
                  <c:v>4</c:v>
                </c:pt>
                <c:pt idx="2">
                  <c:v>16</c:v>
                </c:pt>
              </c:numCache>
            </c:numRef>
          </c:val>
          <c:extLst>
            <c:ext xmlns:c16="http://schemas.microsoft.com/office/drawing/2014/chart" uri="{C3380CC4-5D6E-409C-BE32-E72D297353CC}">
              <c16:uniqueId val="{00000000-DDF9-4C20-8A6F-3FD6660BD986}"/>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[C1W1 Practice Challenge (1).xlsx]HR Data!PivotTable8</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Employees by Region and Full/Part Time</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'HR Data'!$BO$5</c:f>
              <c:strCache>
                <c:ptCount val="1"/>
                <c:pt idx="0">
                  <c:v>Total</c:v>
                </c:pt>
              </c:strCache>
            </c:strRef>
          </c:tx>
          <c:spPr>
            <a:solidFill>
              <a:schemeClr val="accent1"/>
            </a:solidFill>
            <a:ln>
              <a:noFill/>
            </a:ln>
            <a:effectLst/>
          </c:spPr>
          <c:invertIfNegative val="0"/>
          <c:cat>
            <c:multiLvlStrRef>
              <c:f>'HR Data'!$BN$6:$BN$15</c:f>
              <c:multiLvlStrCache>
                <c:ptCount val="6"/>
                <c:lvl>
                  <c:pt idx="0">
                    <c:v>F</c:v>
                  </c:pt>
                  <c:pt idx="1">
                    <c:v>P</c:v>
                  </c:pt>
                  <c:pt idx="2">
                    <c:v>F</c:v>
                  </c:pt>
                  <c:pt idx="3">
                    <c:v>P</c:v>
                  </c:pt>
                  <c:pt idx="4">
                    <c:v>F</c:v>
                  </c:pt>
                  <c:pt idx="5">
                    <c:v>P</c:v>
                  </c:pt>
                </c:lvl>
                <c:lvl>
                  <c:pt idx="0">
                    <c:v>East</c:v>
                  </c:pt>
                  <c:pt idx="2">
                    <c:v>North</c:v>
                  </c:pt>
                  <c:pt idx="4">
                    <c:v>West</c:v>
                  </c:pt>
                </c:lvl>
              </c:multiLvlStrCache>
            </c:multiLvlStrRef>
          </c:cat>
          <c:val>
            <c:numRef>
              <c:f>'HR Data'!$BO$6:$BO$15</c:f>
              <c:numCache>
                <c:formatCode>General</c:formatCode>
                <c:ptCount val="6"/>
                <c:pt idx="0">
                  <c:v>6</c:v>
                </c:pt>
                <c:pt idx="1">
                  <c:v>9</c:v>
                </c:pt>
                <c:pt idx="2">
                  <c:v>2</c:v>
                </c:pt>
                <c:pt idx="3">
                  <c:v>2</c:v>
                </c:pt>
                <c:pt idx="4">
                  <c:v>9</c:v>
                </c:pt>
                <c:pt idx="5">
                  <c:v>7</c:v>
                </c:pt>
              </c:numCache>
            </c:numRef>
          </c:val>
          <c:extLst>
            <c:ext xmlns:c16="http://schemas.microsoft.com/office/drawing/2014/chart" uri="{C3380CC4-5D6E-409C-BE32-E72D297353CC}">
              <c16:uniqueId val="{00000000-6700-405C-8448-E254B97C0E19}"/>
            </c:ext>
          </c:extLst>
        </c:ser>
        <c:dLbls>
          <c:showLegendKey val="0"/>
          <c:showVal val="0"/>
          <c:showCatName val="0"/>
          <c:showSerName val="0"/>
          <c:showPercent val="0"/>
          <c:showBubbleSize val="0"/>
        </c:dLbls>
        <c:gapWidth val="150"/>
        <c:overlap val="100"/>
        <c:axId val="1237705599"/>
        <c:axId val="1237686399"/>
      </c:barChart>
      <c:catAx>
        <c:axId val="1237705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7686399"/>
        <c:crosses val="autoZero"/>
        <c:auto val="1"/>
        <c:lblAlgn val="ctr"/>
        <c:lblOffset val="100"/>
        <c:noMultiLvlLbl val="0"/>
      </c:catAx>
      <c:valAx>
        <c:axId val="1237686399"/>
        <c:scaling>
          <c:orientation val="minMax"/>
        </c:scaling>
        <c:delete val="1"/>
        <c:axPos val="l"/>
        <c:numFmt formatCode="General" sourceLinked="1"/>
        <c:majorTickMark val="none"/>
        <c:minorTickMark val="none"/>
        <c:tickLblPos val="nextTo"/>
        <c:crossAx val="1237705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[C1W1 Practice Challenge (1).xlsx]HR Data!PivotTable10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Employess</a:t>
            </a:r>
            <a:r>
              <a:rPr lang="en-US" baseline="0"/>
              <a:t> By Floor No</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'HR Data'!$AF$30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'HR Data'!$AE$31:$AE$34</c:f>
              <c:strCache>
                <c:ptCount val="3"/>
                <c:pt idx="0">
                  <c:v>01</c:v>
                </c:pt>
                <c:pt idx="1">
                  <c:v>02</c:v>
                </c:pt>
                <c:pt idx="2">
                  <c:v>03</c:v>
                </c:pt>
              </c:strCache>
            </c:strRef>
          </c:cat>
          <c:val>
            <c:numRef>
              <c:f>'HR Data'!$AF$31:$AF$34</c:f>
              <c:numCache>
                <c:formatCode>General</c:formatCode>
                <c:ptCount val="3"/>
                <c:pt idx="0">
                  <c:v>5</c:v>
                </c:pt>
                <c:pt idx="1">
                  <c:v>20</c:v>
                </c:pt>
                <c:pt idx="2">
                  <c:v>10</c:v>
                </c:pt>
              </c:numCache>
            </c:numRef>
          </c:val>
          <c:extLst>
            <c:ext xmlns:c16="http://schemas.microsoft.com/office/drawing/2014/chart" uri="{C3380CC4-5D6E-409C-BE32-E72D297353CC}">
              <c16:uniqueId val="{00000000-BE66-4462-B3A5-7F018FC482D6}"/>
            </c:ext>
          </c:extLst>
        </c:ser>
        <c:dLbls>
          <c:dLblPos val="outEnd"/>
          <c:showLegendKey val="0"/>
          <c:showVal val="1"/>
          <c:showCatName val="0"/>
          <c:showSerName val="0"/>
          <c:showPercent val="0"/>
          <c:showBubbleSize val="0"/>
        </c:dLbls>
        <c:gapWidth val="219"/>
        <c:axId val="1477936719"/>
        <c:axId val="1477939599"/>
      </c:barChart>
      <c:catAx>
        <c:axId val="14779367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7939599"/>
        <c:crosses val="autoZero"/>
        <c:auto val="1"/>
        <c:lblAlgn val="ctr"/>
        <c:lblOffset val="100"/>
        <c:noMultiLvlLbl val="0"/>
      </c:catAx>
      <c:valAx>
        <c:axId val="1477939599"/>
        <c:scaling>
          <c:orientation val="minMax"/>
        </c:scaling>
        <c:delete val="1"/>
        <c:axPos val="b"/>
        <c:numFmt formatCode="General" sourceLinked="1"/>
        <c:majorTickMark val="none"/>
        <c:minorTickMark val="none"/>
        <c:tickLblPos val="nextTo"/>
        <c:crossAx val="1477936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[C1W1 Practice Challenge (1).xlsx]HR Data!PivotTable6</c:name>
    <c:fmtId val="8"/>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sz="1400" b="1" i="0" u="none" strike="noStrike" baseline="0">
                <a:solidFill>
                  <a:sysClr val="windowText" lastClr="000000"/>
                </a:solidFill>
              </a:rPr>
              <a:t>Full-Time vs Part-Time by Region</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5"/>
          </a:solidFill>
          <a:ln w="19050">
            <a:solidFill>
              <a:schemeClr val="lt1"/>
            </a:solidFill>
          </a:ln>
          <a:effectLst/>
        </c:spPr>
        <c:dLbl>
          <c:idx val="0"/>
          <c:layout>
            <c:manualLayout>
              <c:x val="9.3841642228739003E-2"/>
              <c:y val="-7.729468599033816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4">
              <a:lumMod val="60000"/>
              <a:lumOff val="40000"/>
            </a:schemeClr>
          </a:solidFill>
          <a:ln w="19050">
            <a:solidFill>
              <a:schemeClr val="lt1"/>
            </a:solidFill>
          </a:ln>
          <a:effectLst/>
        </c:spPr>
        <c:dLbl>
          <c:idx val="0"/>
          <c:layout>
            <c:manualLayout>
              <c:x val="0.22287390029325513"/>
              <c:y val="3.86473429951690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4">
              <a:lumMod val="75000"/>
            </a:schemeClr>
          </a:solidFill>
          <a:ln w="19050">
            <a:solidFill>
              <a:schemeClr val="lt1"/>
            </a:solidFill>
          </a:ln>
          <a:effectLst/>
        </c:spPr>
        <c:dLbl>
          <c:idx val="0"/>
          <c:layout>
            <c:manualLayout>
              <c:x val="-0.16422287390029325"/>
              <c:y val="-3.220611916264096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'HR Data'!$BA$4</c:f>
              <c:strCache>
                <c:ptCount val="1"/>
                <c:pt idx="0">
                  <c:v>Total</c:v>
                </c:pt>
              </c:strCache>
            </c:strRef>
          </c:tx>
          <c:explosion val="3"/>
          <c:dPt>
            <c:idx val="0"/>
            <c:bubble3D val="0"/>
            <c:spPr>
              <a:solidFill>
                <a:schemeClr val="accent5"/>
              </a:solidFill>
              <a:ln w="19050">
                <a:solidFill>
                  <a:schemeClr val="lt1"/>
                </a:solidFill>
              </a:ln>
              <a:effectLst/>
            </c:spPr>
            <c:extLst>
              <c:ext xmlns:c16="http://schemas.microsoft.com/office/drawing/2014/chart" uri="{C3380CC4-5D6E-409C-BE32-E72D297353CC}">
                <c16:uniqueId val="{00000001-DA30-41B2-9F3C-2D50CE12A9D9}"/>
              </c:ext>
            </c:extLst>
          </c:dPt>
          <c:dPt>
            <c:idx val="1"/>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03-DA30-41B2-9F3C-2D50CE12A9D9}"/>
              </c:ext>
            </c:extLst>
          </c:dPt>
          <c:dPt>
            <c:idx val="2"/>
            <c:bubble3D val="0"/>
            <c:spPr>
              <a:solidFill>
                <a:schemeClr val="accent4">
                  <a:lumMod val="75000"/>
                </a:schemeClr>
              </a:solidFill>
              <a:ln w="19050">
                <a:solidFill>
                  <a:schemeClr val="lt1"/>
                </a:solidFill>
              </a:ln>
              <a:effectLst/>
            </c:spPr>
            <c:extLst>
              <c:ext xmlns:c16="http://schemas.microsoft.com/office/drawing/2014/chart" uri="{C3380CC4-5D6E-409C-BE32-E72D297353CC}">
                <c16:uniqueId val="{00000005-DA30-41B2-9F3C-2D50CE12A9D9}"/>
              </c:ext>
            </c:extLst>
          </c:dPt>
          <c:dLbls>
            <c:dLbl>
              <c:idx val="0"/>
              <c:layout>
                <c:manualLayout>
                  <c:x val="9.3841642228739003E-2"/>
                  <c:y val="-7.729468599033816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DA30-41B2-9F3C-2D50CE12A9D9}"/>
                </c:ext>
              </c:extLst>
            </c:dLbl>
            <c:dLbl>
              <c:idx val="1"/>
              <c:layout>
                <c:manualLayout>
                  <c:x val="0.22287390029325513"/>
                  <c:y val="3.86473429951690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A30-41B2-9F3C-2D50CE12A9D9}"/>
                </c:ext>
              </c:extLst>
            </c:dLbl>
            <c:dLbl>
              <c:idx val="2"/>
              <c:layout>
                <c:manualLayout>
                  <c:x val="-0.16422287390029325"/>
                  <c:y val="-3.220611916264096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DA30-41B2-9F3C-2D50CE12A9D9}"/>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'HR Data'!$AZ$5:$AZ$8</c:f>
              <c:strCache>
                <c:ptCount val="3"/>
                <c:pt idx="0">
                  <c:v>East</c:v>
                </c:pt>
                <c:pt idx="1">
                  <c:v>North</c:v>
                </c:pt>
                <c:pt idx="2">
                  <c:v>West</c:v>
                </c:pt>
              </c:strCache>
            </c:strRef>
          </c:cat>
          <c:val>
            <c:numRef>
              <c:f>'HR Data'!$BA$5:$BA$8</c:f>
              <c:numCache>
                <c:formatCode>General</c:formatCode>
                <c:ptCount val="3"/>
                <c:pt idx="0">
                  <c:v>15</c:v>
                </c:pt>
                <c:pt idx="1">
                  <c:v>4</c:v>
                </c:pt>
                <c:pt idx="2">
                  <c:v>16</c:v>
                </c:pt>
              </c:numCache>
            </c:numRef>
          </c:val>
          <c:extLst>
            <c:ext xmlns:c16="http://schemas.microsoft.com/office/drawing/2014/chart" uri="{C3380CC4-5D6E-409C-BE32-E72D297353CC}">
              <c16:uniqueId val="{00000006-DA30-41B2-9F3C-2D50CE12A9D9}"/>
            </c:ext>
          </c:extLst>
        </c:ser>
        <c:dLbls>
          <c:showLegendKey val="0"/>
          <c:showVal val="0"/>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[C1W1 Practice Challenge (1).xlsx]HR Data!PivotTable8</c:name>
    <c:fmtId val="7"/>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spc="0" baseline="0">
                <a:solidFill>
                  <a:sysClr val="windowText" lastClr="000000"/>
                </a:solidFill>
                <a:latin typeface="+mn-lt"/>
                <a:ea typeface="+mn-ea"/>
                <a:cs typeface="+mn-cs"/>
              </a:defRPr>
            </a:pPr>
            <a:r>
              <a:rPr lang="en-US" sz="1400" b="1" i="0" u="none" strike="noStrike" kern="1200" spc="0" baseline="0">
                <a:solidFill>
                  <a:sysClr val="windowText" lastClr="000000"/>
                </a:solidFill>
              </a:rPr>
              <a:t>Employees by Region and Full/Part Time</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'HR Data'!$BO$5</c:f>
              <c:strCache>
                <c:ptCount val="1"/>
                <c:pt idx="0">
                  <c:v>Total</c:v>
                </c:pt>
              </c:strCache>
            </c:strRef>
          </c:tx>
          <c:spPr>
            <a:solidFill>
              <a:schemeClr val="accent4"/>
            </a:solidFill>
            <a:ln>
              <a:noFill/>
            </a:ln>
            <a:effectLst/>
          </c:spPr>
          <c:invertIfNegative val="0"/>
          <c:cat>
            <c:multiLvlStrRef>
              <c:f>'HR Data'!$BN$6:$BN$15</c:f>
              <c:multiLvlStrCache>
                <c:ptCount val="6"/>
                <c:lvl>
                  <c:pt idx="0">
                    <c:v>F</c:v>
                  </c:pt>
                  <c:pt idx="1">
                    <c:v>P</c:v>
                  </c:pt>
                  <c:pt idx="2">
                    <c:v>F</c:v>
                  </c:pt>
                  <c:pt idx="3">
                    <c:v>P</c:v>
                  </c:pt>
                  <c:pt idx="4">
                    <c:v>F</c:v>
                  </c:pt>
                  <c:pt idx="5">
                    <c:v>P</c:v>
                  </c:pt>
                </c:lvl>
                <c:lvl>
                  <c:pt idx="0">
                    <c:v>East</c:v>
                  </c:pt>
                  <c:pt idx="2">
                    <c:v>North</c:v>
                  </c:pt>
                  <c:pt idx="4">
                    <c:v>West</c:v>
                  </c:pt>
                </c:lvl>
              </c:multiLvlStrCache>
            </c:multiLvlStrRef>
          </c:cat>
          <c:val>
            <c:numRef>
              <c:f>'HR Data'!$BO$6:$BO$15</c:f>
              <c:numCache>
                <c:formatCode>General</c:formatCode>
                <c:ptCount val="6"/>
                <c:pt idx="0">
                  <c:v>6</c:v>
                </c:pt>
                <c:pt idx="1">
                  <c:v>9</c:v>
                </c:pt>
                <c:pt idx="2">
                  <c:v>2</c:v>
                </c:pt>
                <c:pt idx="3">
                  <c:v>2</c:v>
                </c:pt>
                <c:pt idx="4">
                  <c:v>9</c:v>
                </c:pt>
                <c:pt idx="5">
                  <c:v>7</c:v>
                </c:pt>
              </c:numCache>
            </c:numRef>
          </c:val>
          <c:extLst>
            <c:ext xmlns:c16="http://schemas.microsoft.com/office/drawing/2014/chart" uri="{C3380CC4-5D6E-409C-BE32-E72D297353CC}">
              <c16:uniqueId val="{00000000-0103-4B77-A1AA-991A3ADF7AED}"/>
            </c:ext>
          </c:extLst>
        </c:ser>
        <c:dLbls>
          <c:showLegendKey val="0"/>
          <c:showVal val="0"/>
          <c:showCatName val="0"/>
          <c:showSerName val="0"/>
          <c:showPercent val="0"/>
          <c:showBubbleSize val="0"/>
        </c:dLbls>
        <c:gapWidth val="150"/>
        <c:overlap val="100"/>
        <c:axId val="1237705599"/>
        <c:axId val="1237686399"/>
      </c:barChart>
      <c:catAx>
        <c:axId val="1237705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237686399"/>
        <c:crosses val="autoZero"/>
        <c:auto val="1"/>
        <c:lblAlgn val="ctr"/>
        <c:lblOffset val="100"/>
        <c:noMultiLvlLbl val="0"/>
      </c:catAx>
      <c:valAx>
        <c:axId val="1237686399"/>
        <c:scaling>
          <c:orientation val="minMax"/>
        </c:scaling>
        <c:delete val="1"/>
        <c:axPos val="l"/>
        <c:numFmt formatCode="General" sourceLinked="1"/>
        <c:majorTickMark val="none"/>
        <c:minorTickMark val="none"/>
        <c:tickLblPos val="nextTo"/>
        <c:crossAx val="12377055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[C1W1 Practice Challenge (1).xlsx]HR Data!PivotTable1</c:name>
    <c:fmtId val="11"/>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sz="1400" b="1" i="0" u="none" strike="noStrike" baseline="0">
                <a:solidFill>
                  <a:sysClr val="windowText" lastClr="000000"/>
                </a:solidFill>
              </a:rPr>
              <a:t>Employees by Department</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'HR Data'!$V$4</c:f>
              <c:strCache>
                <c:ptCount val="1"/>
                <c:pt idx="0">
                  <c:v>Total</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'HR Data'!$U$5:$U$12</c:f>
              <c:strCache>
                <c:ptCount val="7"/>
                <c:pt idx="0">
                  <c:v>Accounting</c:v>
                </c:pt>
                <c:pt idx="1">
                  <c:v>Customer Service</c:v>
                </c:pt>
                <c:pt idx="2">
                  <c:v>Executive</c:v>
                </c:pt>
                <c:pt idx="3">
                  <c:v>Facilities</c:v>
                </c:pt>
                <c:pt idx="4">
                  <c:v>Human Resources</c:v>
                </c:pt>
                <c:pt idx="5">
                  <c:v>IT</c:v>
                </c:pt>
                <c:pt idx="6">
                  <c:v>Sales</c:v>
                </c:pt>
              </c:strCache>
            </c:strRef>
          </c:cat>
          <c:val>
            <c:numRef>
              <c:f>'HR Data'!$V$5:$V$12</c:f>
              <c:numCache>
                <c:formatCode>General</c:formatCode>
                <c:ptCount val="7"/>
                <c:pt idx="0">
                  <c:v>4</c:v>
                </c:pt>
                <c:pt idx="1">
                  <c:v>5</c:v>
                </c:pt>
                <c:pt idx="2">
                  <c:v>2</c:v>
                </c:pt>
                <c:pt idx="3">
                  <c:v>1</c:v>
                </c:pt>
                <c:pt idx="4">
                  <c:v>3</c:v>
                </c:pt>
                <c:pt idx="5">
                  <c:v>5</c:v>
                </c:pt>
                <c:pt idx="6">
                  <c:v>15</c:v>
                </c:pt>
              </c:numCache>
            </c:numRef>
          </c:val>
          <c:extLst>
            <c:ext xmlns:c16="http://schemas.microsoft.com/office/drawing/2014/chart" uri="{C3380CC4-5D6E-409C-BE32-E72D297353CC}">
              <c16:uniqueId val="{00000000-61F0-444A-8F2B-36302EF26F11}"/>
            </c:ext>
          </c:extLst>
        </c:ser>
        <c:dLbls>
          <c:dLblPos val="outEnd"/>
          <c:showLegendKey val="0"/>
          <c:showVal val="1"/>
          <c:showCatName val="0"/>
          <c:showSerName val="0"/>
          <c:showPercent val="0"/>
          <c:showBubbleSize val="0"/>
        </c:dLbls>
        <c:gapWidth val="182"/>
        <c:axId val="734655008"/>
        <c:axId val="734655488"/>
      </c:barChart>
      <c:catAx>
        <c:axId val="734655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734655488"/>
        <c:crosses val="autoZero"/>
        <c:auto val="1"/>
        <c:lblAlgn val="ctr"/>
        <c:lblOffset val="100"/>
        <c:noMultiLvlLbl val="0"/>
      </c:catAx>
      <c:valAx>
        <c:axId val="734655488"/>
        <c:scaling>
          <c:orientation val="minMax"/>
        </c:scaling>
        <c:delete val="1"/>
        <c:axPos val="l"/>
        <c:numFmt formatCode="General" sourceLinked="1"/>
        <c:majorTickMark val="none"/>
        <c:minorTickMark val="none"/>
        <c:tickLblPos val="nextTo"/>
        <c:crossAx val="734655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[C1W1 Practice Challenge (1).xlsx]HR Data!PivotTable10</c:name>
    <c:fmtId val="9"/>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Employess</a:t>
            </a:r>
            <a:r>
              <a:rPr lang="en-US" b="1" baseline="0">
                <a:solidFill>
                  <a:sysClr val="windowText" lastClr="000000"/>
                </a:solidFill>
              </a:rPr>
              <a:t> By Floor No</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'HR Data'!$AF$30</c:f>
              <c:strCache>
                <c:ptCount val="1"/>
                <c:pt idx="0">
                  <c:v>Total</c:v>
                </c:pt>
              </c:strCache>
            </c:strRef>
          </c:tx>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'HR Data'!$AE$31:$AE$34</c:f>
              <c:strCache>
                <c:ptCount val="3"/>
                <c:pt idx="0">
                  <c:v>01</c:v>
                </c:pt>
                <c:pt idx="1">
                  <c:v>02</c:v>
                </c:pt>
                <c:pt idx="2">
                  <c:v>03</c:v>
                </c:pt>
              </c:strCache>
            </c:strRef>
          </c:cat>
          <c:val>
            <c:numRef>
              <c:f>'HR Data'!$AF$31:$AF$34</c:f>
              <c:numCache>
                <c:formatCode>General</c:formatCode>
                <c:ptCount val="3"/>
                <c:pt idx="0">
                  <c:v>5</c:v>
                </c:pt>
                <c:pt idx="1">
                  <c:v>20</c:v>
                </c:pt>
                <c:pt idx="2">
                  <c:v>10</c:v>
                </c:pt>
              </c:numCache>
            </c:numRef>
          </c:val>
          <c:extLst>
            <c:ext xmlns:c16="http://schemas.microsoft.com/office/drawing/2014/chart" uri="{C3380CC4-5D6E-409C-BE32-E72D297353CC}">
              <c16:uniqueId val="{00000000-7C16-48AE-B651-D950457AE55F}"/>
            </c:ext>
          </c:extLst>
        </c:ser>
        <c:dLbls>
          <c:dLblPos val="outEnd"/>
          <c:showLegendKey val="0"/>
          <c:showVal val="1"/>
          <c:showCatName val="0"/>
          <c:showSerName val="0"/>
          <c:showPercent val="0"/>
          <c:showBubbleSize val="0"/>
        </c:dLbls>
        <c:gapWidth val="219"/>
        <c:axId val="1477936719"/>
        <c:axId val="1477939599"/>
      </c:barChart>
      <c:catAx>
        <c:axId val="14779367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1477939599"/>
        <c:crosses val="autoZero"/>
        <c:auto val="1"/>
        <c:lblAlgn val="ctr"/>
        <c:lblOffset val="100"/>
        <c:noMultiLvlLbl val="0"/>
      </c:catAx>
      <c:valAx>
        <c:axId val="1477939599"/>
        <c:scaling>
          <c:orientation val="minMax"/>
        </c:scaling>
        <c:delete val="1"/>
        <c:axPos val="b"/>
        <c:numFmt formatCode="General" sourceLinked="1"/>
        <c:majorTickMark val="none"/>
        <c:minorTickMark val="none"/>
        <c:tickLblPos val="nextTo"/>
        <c:crossAx val="1477936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0</xdr:row>
      <xdr:rowOff>1</xdr:rowOff>
    </xdr:from>
    <xdr:to>
      <xdr:col>7</xdr:col>
      <xdr:colOff>1110270</xdr:colOff>
      <xdr:row>6</xdr:row>
      <xdr:rowOff>120799</xdr:rowOff>
    </xdr:to>
    <xdr:pic>
      <xdr:nvPicPr>
        <xdr:cNvPr id="2" name="Picture 1" title="Macquarie University Logo">
          <a:extLst>
            <a:ext uri="{FF2B5EF4-FFF2-40B4-BE49-F238E27FC236}">
              <a16:creationId xmlns:a16="http://schemas.microsoft.com/office/drawing/2014/main" id="{45E04198-DA21-4113-8098-726A7B40EFCA}"/>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7086"/>
        <a:stretch/>
      </xdr:blipFill>
      <xdr:spPr>
        <a:xfrm>
          <a:off x="0" y="1"/>
          <a:ext cx="4809145" cy="1660673"/>
        </a:xfrm>
        <a:prstGeom prst="rect">
          <a:avLst/>
        </a:prstGeom>
      </xdr:spPr>
    </xdr:pic>
    <xdr:clientData/>
  </xdr:twoCellAnchor>
  <xdr:twoCellAnchor editAs="oneCell">
    <xdr:from>
      <xdr:col>1</xdr:col>
      <xdr:colOff>0</xdr:colOff>
      <xdr:row>27</xdr:row>
      <xdr:rowOff>123030</xdr:rowOff>
    </xdr:from>
    <xdr:to>
      <xdr:col>14</xdr:col>
      <xdr:colOff>1384694</xdr:colOff>
      <xdr:row>57</xdr:row>
      <xdr:rowOff>2324</xdr:rowOff>
    </xdr:to>
    <xdr:pic>
      <xdr:nvPicPr>
        <xdr:cNvPr id="4" name="Picture 3">
          <a:extLst>
            <a:ext uri="{FF2B5EF4-FFF2-40B4-BE49-F238E27FC236}">
              <a16:creationId xmlns:a16="http://schemas.microsoft.com/office/drawing/2014/main" id="{78D7111B-A1BF-4904-995F-9573113F0D5E}"/>
            </a:ext>
          </a:extLst>
        </xdr:cNvPr>
        <xdr:cNvPicPr>
          <a:picLocks noChangeAspect="1"/>
        </xdr:cNvPicPr>
      </xdr:nvPicPr>
      <xdr:blipFill>
        <a:blip xmlns:r="http://schemas.openxmlformats.org/officeDocument/2006/relationships" r:embed="rId2"/>
        <a:stretch>
          <a:fillRect/>
        </a:stretch>
      </xdr:blipFill>
      <xdr:spPr>
        <a:xfrm>
          <a:off x="381000" y="5044280"/>
          <a:ext cx="10111976" cy="535616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19</xdr:col>
      <xdr:colOff>17584</xdr:colOff>
      <xdr:row>19</xdr:row>
      <xdr:rowOff>107217</xdr:rowOff>
    </xdr:from>
    <xdr:to>
      <xdr:col>25</xdr:col>
      <xdr:colOff>15630</xdr:colOff>
      <xdr:row>33</xdr:row>
      <xdr:rowOff>183417</xdr:rowOff>
    </xdr:to>
    <xdr:graphicFrame macro="">
      <xdr:nvGraphicFramePr>
        <xdr:cNvPr id="2" name="Chart 1">
          <a:extLst>
            <a:ext uri="{FF2B5EF4-FFF2-40B4-BE49-F238E27FC236}">
              <a16:creationId xmlns:a16="http://schemas.microsoft.com/office/drawing/2014/main" id="{544E1074-3389-6D58-8A2A-5A43623A35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24</xdr:col>
      <xdr:colOff>604442</xdr:colOff>
      <xdr:row>9</xdr:row>
      <xdr:rowOff>78184</xdr:rowOff>
    </xdr:from>
    <xdr:to>
      <xdr:col>30</xdr:col>
      <xdr:colOff>579835</xdr:colOff>
      <xdr:row>23</xdr:row>
      <xdr:rowOff>154384</xdr:rowOff>
    </xdr:to>
    <xdr:graphicFrame macro="">
      <xdr:nvGraphicFramePr>
        <xdr:cNvPr id="3" name="Chart 2">
          <a:extLst>
            <a:ext uri="{FF2B5EF4-FFF2-40B4-BE49-F238E27FC236}">
              <a16:creationId xmlns:a16="http://schemas.microsoft.com/office/drawing/2014/main" id="{67D872C4-C595-FBF9-610C-79B00E3721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32</xdr:col>
      <xdr:colOff>223044</xdr:colOff>
      <xdr:row>6</xdr:row>
      <xdr:rowOff>97631</xdr:rowOff>
    </xdr:from>
    <xdr:to>
      <xdr:col>39</xdr:col>
      <xdr:colOff>535781</xdr:colOff>
      <xdr:row>20</xdr:row>
      <xdr:rowOff>173830</xdr:rowOff>
    </xdr:to>
    <xdr:graphicFrame macro="">
      <xdr:nvGraphicFramePr>
        <xdr:cNvPr id="4" name="Chart 3">
          <a:extLst>
            <a:ext uri="{FF2B5EF4-FFF2-40B4-BE49-F238E27FC236}">
              <a16:creationId xmlns:a16="http://schemas.microsoft.com/office/drawing/2014/main" id="{831787D8-7AE9-1913-326B-8229BB2925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45</xdr:col>
      <xdr:colOff>791893</xdr:colOff>
      <xdr:row>16</xdr:row>
      <xdr:rowOff>11062</xdr:rowOff>
    </xdr:from>
    <xdr:to>
      <xdr:col>52</xdr:col>
      <xdr:colOff>393797</xdr:colOff>
      <xdr:row>30</xdr:row>
      <xdr:rowOff>18878</xdr:rowOff>
    </xdr:to>
    <xdr:graphicFrame macro="">
      <xdr:nvGraphicFramePr>
        <xdr:cNvPr id="6" name="Chart 5">
          <a:extLst>
            <a:ext uri="{FF2B5EF4-FFF2-40B4-BE49-F238E27FC236}">
              <a16:creationId xmlns:a16="http://schemas.microsoft.com/office/drawing/2014/main" id="{63EEA715-5C3E-6D57-82C0-C43C2658FC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61</xdr:col>
      <xdr:colOff>878417</xdr:colOff>
      <xdr:row>18</xdr:row>
      <xdr:rowOff>67733</xdr:rowOff>
    </xdr:from>
    <xdr:to>
      <xdr:col>68</xdr:col>
      <xdr:colOff>95250</xdr:colOff>
      <xdr:row>32</xdr:row>
      <xdr:rowOff>143933</xdr:rowOff>
    </xdr:to>
    <xdr:graphicFrame macro="">
      <xdr:nvGraphicFramePr>
        <xdr:cNvPr id="7" name="Chart 6">
          <a:extLst>
            <a:ext uri="{FF2B5EF4-FFF2-40B4-BE49-F238E27FC236}">
              <a16:creationId xmlns:a16="http://schemas.microsoft.com/office/drawing/2014/main" id="{E7F8783C-48A9-4E01-C588-298252BA15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34</xdr:col>
      <xdr:colOff>140136</xdr:colOff>
      <xdr:row>22</xdr:row>
      <xdr:rowOff>101600</xdr:rowOff>
    </xdr:from>
    <xdr:to>
      <xdr:col>37</xdr:col>
      <xdr:colOff>126710</xdr:colOff>
      <xdr:row>35</xdr:row>
      <xdr:rowOff>149225</xdr:rowOff>
    </xdr:to>
    <mc:AlternateContent xmlns:mc="http://schemas.openxmlformats.org/markup-compatibility/2006" xmlns:a14="http://schemas.microsoft.com/office/drawing/2010/main">
      <mc:Choice Requires="a14">
        <xdr:graphicFrame macro="">
          <xdr:nvGraphicFramePr>
            <xdr:cNvPr id="5" name="Department">
              <a:extLst>
                <a:ext uri="{FF2B5EF4-FFF2-40B4-BE49-F238E27FC236}">
                  <a16:creationId xmlns:a16="http://schemas.microsoft.com/office/drawing/2014/main" id="{65816282-7976-9144-0C2F-44DA83327F71}"/>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30360363" y="4652433"/>
              <a:ext cx="1804983" cy="25491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47</xdr:col>
      <xdr:colOff>323850</xdr:colOff>
      <xdr:row>5</xdr:row>
      <xdr:rowOff>149226</xdr:rowOff>
    </xdr:from>
    <xdr:to>
      <xdr:col>50</xdr:col>
      <xdr:colOff>311150</xdr:colOff>
      <xdr:row>11</xdr:row>
      <xdr:rowOff>10584</xdr:rowOff>
    </xdr:to>
    <mc:AlternateContent xmlns:mc="http://schemas.openxmlformats.org/markup-compatibility/2006" xmlns:a14="http://schemas.microsoft.com/office/drawing/2010/main">
      <mc:Choice Requires="a14">
        <xdr:graphicFrame macro="">
          <xdr:nvGraphicFramePr>
            <xdr:cNvPr id="9" name="Full/Part Time">
              <a:extLst>
                <a:ext uri="{FF2B5EF4-FFF2-40B4-BE49-F238E27FC236}">
                  <a16:creationId xmlns:a16="http://schemas.microsoft.com/office/drawing/2014/main" id="{1B3B5223-5CEE-0EC0-84A5-C0227A4E68E2}"/>
                </a:ext>
              </a:extLst>
            </xdr:cNvPr>
            <xdr:cNvGraphicFramePr/>
          </xdr:nvGraphicFramePr>
          <xdr:xfrm>
            <a:off x="0" y="0"/>
            <a:ext cx="0" cy="0"/>
          </xdr:xfrm>
          <a:graphic>
            <a:graphicData uri="http://schemas.microsoft.com/office/drawing/2010/slicer">
              <sle:slicer xmlns:sle="http://schemas.microsoft.com/office/drawing/2010/slicer" name="Full/Part Time"/>
            </a:graphicData>
          </a:graphic>
        </xdr:graphicFrame>
      </mc:Choice>
      <mc:Fallback xmlns="">
        <xdr:sp macro="" textlink="">
          <xdr:nvSpPr>
            <xdr:cNvPr id="0" name=""/>
            <xdr:cNvSpPr>
              <a:spLocks noTextEdit="1"/>
            </xdr:cNvSpPr>
          </xdr:nvSpPr>
          <xdr:spPr>
            <a:xfrm>
              <a:off x="39337865" y="1428847"/>
              <a:ext cx="1805709" cy="10159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28</xdr:col>
      <xdr:colOff>259620</xdr:colOff>
      <xdr:row>34</xdr:row>
      <xdr:rowOff>69794</xdr:rowOff>
    </xdr:from>
    <xdr:to>
      <xdr:col>32</xdr:col>
      <xdr:colOff>591730</xdr:colOff>
      <xdr:row>48</xdr:row>
      <xdr:rowOff>98790</xdr:rowOff>
    </xdr:to>
    <xdr:graphicFrame macro="">
      <xdr:nvGraphicFramePr>
        <xdr:cNvPr id="10" name="Chart 9">
          <a:extLst>
            <a:ext uri="{FF2B5EF4-FFF2-40B4-BE49-F238E27FC236}">
              <a16:creationId xmlns:a16="http://schemas.microsoft.com/office/drawing/2014/main" id="{AD63215D-CE2E-ADE2-323B-7CF06E7D8D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123824</xdr:colOff>
      <xdr:row>0</xdr:row>
      <xdr:rowOff>66676</xdr:rowOff>
    </xdr:from>
    <xdr:to>
      <xdr:col>20</xdr:col>
      <xdr:colOff>400049</xdr:colOff>
      <xdr:row>3</xdr:row>
      <xdr:rowOff>9525</xdr:rowOff>
    </xdr:to>
    <xdr:sp macro="" textlink="">
      <xdr:nvSpPr>
        <xdr:cNvPr id="2" name="Rectangle 1">
          <a:extLst>
            <a:ext uri="{FF2B5EF4-FFF2-40B4-BE49-F238E27FC236}">
              <a16:creationId xmlns:a16="http://schemas.microsoft.com/office/drawing/2014/main" id="{681317AB-29AB-E19E-31EE-AABAF94FBD2B}"/>
            </a:ext>
          </a:extLst>
        </xdr:cNvPr>
        <xdr:cNvSpPr/>
      </xdr:nvSpPr>
      <xdr:spPr>
        <a:xfrm>
          <a:off x="123824" y="66676"/>
          <a:ext cx="12468225" cy="514349"/>
        </a:xfrm>
        <a:prstGeom prst="rect">
          <a:avLst/>
        </a:prstGeom>
        <a:solidFill>
          <a:schemeClr val="accent5">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238125</xdr:colOff>
      <xdr:row>0</xdr:row>
      <xdr:rowOff>28575</xdr:rowOff>
    </xdr:from>
    <xdr:to>
      <xdr:col>8</xdr:col>
      <xdr:colOff>47625</xdr:colOff>
      <xdr:row>2</xdr:row>
      <xdr:rowOff>114301</xdr:rowOff>
    </xdr:to>
    <xdr:sp macro="" textlink="">
      <xdr:nvSpPr>
        <xdr:cNvPr id="3" name="TextBox 2">
          <a:extLst>
            <a:ext uri="{FF2B5EF4-FFF2-40B4-BE49-F238E27FC236}">
              <a16:creationId xmlns:a16="http://schemas.microsoft.com/office/drawing/2014/main" id="{C56A9FC0-9B87-6344-7122-DDE00C724438}"/>
            </a:ext>
          </a:extLst>
        </xdr:cNvPr>
        <xdr:cNvSpPr txBox="1"/>
      </xdr:nvSpPr>
      <xdr:spPr>
        <a:xfrm>
          <a:off x="238125" y="28575"/>
          <a:ext cx="4686300" cy="4667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2800" b="1">
              <a:solidFill>
                <a:schemeClr val="dk1"/>
              </a:solidFill>
              <a:effectLst/>
              <a:latin typeface="+mn-lt"/>
              <a:ea typeface="+mn-ea"/>
              <a:cs typeface="+mn-cs"/>
            </a:rPr>
            <a:t>          HR Analytics Dashboard</a:t>
          </a:r>
          <a:endParaRPr lang="en-US" sz="2800">
            <a:effectLst/>
          </a:endParaRPr>
        </a:p>
        <a:p>
          <a:endParaRPr lang="en-US" sz="1100"/>
        </a:p>
      </xdr:txBody>
    </xdr:sp>
    <xdr:clientData/>
  </xdr:twoCellAnchor>
  <xdr:twoCellAnchor>
    <xdr:from>
      <xdr:col>8</xdr:col>
      <xdr:colOff>409574</xdr:colOff>
      <xdr:row>0</xdr:row>
      <xdr:rowOff>28576</xdr:rowOff>
    </xdr:from>
    <xdr:to>
      <xdr:col>12</xdr:col>
      <xdr:colOff>36590</xdr:colOff>
      <xdr:row>1</xdr:row>
      <xdr:rowOff>177436</xdr:rowOff>
    </xdr:to>
    <xdr:sp macro="" textlink="">
      <xdr:nvSpPr>
        <xdr:cNvPr id="7" name="TextBox 6">
          <a:extLst>
            <a:ext uri="{FF2B5EF4-FFF2-40B4-BE49-F238E27FC236}">
              <a16:creationId xmlns:a16="http://schemas.microsoft.com/office/drawing/2014/main" id="{F3355593-34B2-4F96-BA32-7277903E0AFF}"/>
            </a:ext>
          </a:extLst>
        </xdr:cNvPr>
        <xdr:cNvSpPr txBox="1"/>
      </xdr:nvSpPr>
      <xdr:spPr>
        <a:xfrm>
          <a:off x="5286374" y="28576"/>
          <a:ext cx="2065416" cy="339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 b="1">
              <a:solidFill>
                <a:sysClr val="windowText" lastClr="000000"/>
              </a:solidFill>
            </a:rPr>
            <a:t>Full-Time Employees</a:t>
          </a:r>
        </a:p>
      </xdr:txBody>
    </xdr:sp>
    <xdr:clientData/>
  </xdr:twoCellAnchor>
  <xdr:twoCellAnchor>
    <xdr:from>
      <xdr:col>9</xdr:col>
      <xdr:colOff>257175</xdr:colOff>
      <xdr:row>1</xdr:row>
      <xdr:rowOff>57151</xdr:rowOff>
    </xdr:from>
    <xdr:to>
      <xdr:col>10</xdr:col>
      <xdr:colOff>510173</xdr:colOff>
      <xdr:row>3</xdr:row>
      <xdr:rowOff>8453</xdr:rowOff>
    </xdr:to>
    <xdr:sp macro="" textlink="'HR Data'!CN14">
      <xdr:nvSpPr>
        <xdr:cNvPr id="17" name="TextBox 16">
          <a:extLst>
            <a:ext uri="{FF2B5EF4-FFF2-40B4-BE49-F238E27FC236}">
              <a16:creationId xmlns:a16="http://schemas.microsoft.com/office/drawing/2014/main" id="{47D2C885-4C1C-4243-894D-CF73F898B327}"/>
            </a:ext>
          </a:extLst>
        </xdr:cNvPr>
        <xdr:cNvSpPr txBox="1"/>
      </xdr:nvSpPr>
      <xdr:spPr>
        <a:xfrm>
          <a:off x="5743575" y="247651"/>
          <a:ext cx="862598" cy="3323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B0B0B39-00A3-4CE7-A8CA-C41C4B7CFC1D}" type="TxLink">
            <a:rPr lang="en-US" sz="1500" b="1" i="0" u="none" strike="noStrike">
              <a:solidFill>
                <a:sysClr val="windowText" lastClr="000000"/>
              </a:solidFill>
              <a:latin typeface="Calibri"/>
              <a:cs typeface="Calibri"/>
            </a:rPr>
            <a:pPr/>
            <a:t>18</a:t>
          </a:fld>
          <a:endParaRPr lang="en-US" sz="1500" b="1">
            <a:solidFill>
              <a:sysClr val="windowText" lastClr="000000"/>
            </a:solidFill>
          </a:endParaRPr>
        </a:p>
      </xdr:txBody>
    </xdr:sp>
    <xdr:clientData/>
  </xdr:twoCellAnchor>
  <xdr:twoCellAnchor>
    <xdr:from>
      <xdr:col>11</xdr:col>
      <xdr:colOff>476250</xdr:colOff>
      <xdr:row>0</xdr:row>
      <xdr:rowOff>28576</xdr:rowOff>
    </xdr:from>
    <xdr:to>
      <xdr:col>14</xdr:col>
      <xdr:colOff>468933</xdr:colOff>
      <xdr:row>1</xdr:row>
      <xdr:rowOff>177436</xdr:rowOff>
    </xdr:to>
    <xdr:sp macro="" textlink="">
      <xdr:nvSpPr>
        <xdr:cNvPr id="19" name="TextBox 18">
          <a:extLst>
            <a:ext uri="{FF2B5EF4-FFF2-40B4-BE49-F238E27FC236}">
              <a16:creationId xmlns:a16="http://schemas.microsoft.com/office/drawing/2014/main" id="{7E96FF08-2D93-474A-82A1-3A51A9D9F901}"/>
            </a:ext>
          </a:extLst>
        </xdr:cNvPr>
        <xdr:cNvSpPr txBox="1"/>
      </xdr:nvSpPr>
      <xdr:spPr>
        <a:xfrm>
          <a:off x="7181850" y="28576"/>
          <a:ext cx="1821483" cy="339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 b="1">
              <a:solidFill>
                <a:sysClr val="windowText" lastClr="000000"/>
              </a:solidFill>
            </a:rPr>
            <a:t>Total Employees</a:t>
          </a:r>
        </a:p>
      </xdr:txBody>
    </xdr:sp>
    <xdr:clientData/>
  </xdr:twoCellAnchor>
  <xdr:twoCellAnchor>
    <xdr:from>
      <xdr:col>12</xdr:col>
      <xdr:colOff>276225</xdr:colOff>
      <xdr:row>1</xdr:row>
      <xdr:rowOff>66676</xdr:rowOff>
    </xdr:from>
    <xdr:to>
      <xdr:col>13</xdr:col>
      <xdr:colOff>360922</xdr:colOff>
      <xdr:row>3</xdr:row>
      <xdr:rowOff>25035</xdr:rowOff>
    </xdr:to>
    <xdr:sp macro="" textlink="'HR Data'!AS8">
      <xdr:nvSpPr>
        <xdr:cNvPr id="21" name="TextBox 20">
          <a:extLst>
            <a:ext uri="{FF2B5EF4-FFF2-40B4-BE49-F238E27FC236}">
              <a16:creationId xmlns:a16="http://schemas.microsoft.com/office/drawing/2014/main" id="{069D35F5-BB68-4D71-A297-60FC6390A6D3}"/>
            </a:ext>
          </a:extLst>
        </xdr:cNvPr>
        <xdr:cNvSpPr txBox="1"/>
      </xdr:nvSpPr>
      <xdr:spPr>
        <a:xfrm>
          <a:off x="7591425" y="257176"/>
          <a:ext cx="694297" cy="339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02D17FD-142B-4882-805B-F48FB88FEC00}" type="TxLink">
            <a:rPr lang="en-US" sz="1500" b="1" i="0" u="none" strike="noStrike">
              <a:solidFill>
                <a:sysClr val="windowText" lastClr="000000"/>
              </a:solidFill>
              <a:latin typeface="Calibri"/>
              <a:cs typeface="Calibri"/>
            </a:rPr>
            <a:pPr/>
            <a:t>35</a:t>
          </a:fld>
          <a:endParaRPr lang="en-US" sz="1500" b="1">
            <a:solidFill>
              <a:sysClr val="windowText" lastClr="000000"/>
            </a:solidFill>
          </a:endParaRPr>
        </a:p>
      </xdr:txBody>
    </xdr:sp>
    <xdr:clientData/>
  </xdr:twoCellAnchor>
  <xdr:twoCellAnchor>
    <xdr:from>
      <xdr:col>14</xdr:col>
      <xdr:colOff>190500</xdr:colOff>
      <xdr:row>0</xdr:row>
      <xdr:rowOff>19051</xdr:rowOff>
    </xdr:from>
    <xdr:to>
      <xdr:col>17</xdr:col>
      <xdr:colOff>183183</xdr:colOff>
      <xdr:row>1</xdr:row>
      <xdr:rowOff>167911</xdr:rowOff>
    </xdr:to>
    <xdr:sp macro="" textlink="">
      <xdr:nvSpPr>
        <xdr:cNvPr id="24" name="TextBox 23">
          <a:extLst>
            <a:ext uri="{FF2B5EF4-FFF2-40B4-BE49-F238E27FC236}">
              <a16:creationId xmlns:a16="http://schemas.microsoft.com/office/drawing/2014/main" id="{900CC1EF-07A4-47E9-BF32-715D7D1D6A48}"/>
            </a:ext>
          </a:extLst>
        </xdr:cNvPr>
        <xdr:cNvSpPr txBox="1"/>
      </xdr:nvSpPr>
      <xdr:spPr>
        <a:xfrm>
          <a:off x="8724900" y="19051"/>
          <a:ext cx="1821483" cy="339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 b="1">
              <a:solidFill>
                <a:sysClr val="windowText" lastClr="000000"/>
              </a:solidFill>
            </a:rPr>
            <a:t>Largest Department</a:t>
          </a:r>
        </a:p>
      </xdr:txBody>
    </xdr:sp>
    <xdr:clientData/>
  </xdr:twoCellAnchor>
  <xdr:twoCellAnchor>
    <xdr:from>
      <xdr:col>15</xdr:col>
      <xdr:colOff>85725</xdr:colOff>
      <xdr:row>1</xdr:row>
      <xdr:rowOff>47626</xdr:rowOff>
    </xdr:from>
    <xdr:to>
      <xdr:col>16</xdr:col>
      <xdr:colOff>54789</xdr:colOff>
      <xdr:row>3</xdr:row>
      <xdr:rowOff>5985</xdr:rowOff>
    </xdr:to>
    <xdr:sp macro="" textlink="'HR Data'!CG16">
      <xdr:nvSpPr>
        <xdr:cNvPr id="26" name="TextBox 25">
          <a:extLst>
            <a:ext uri="{FF2B5EF4-FFF2-40B4-BE49-F238E27FC236}">
              <a16:creationId xmlns:a16="http://schemas.microsoft.com/office/drawing/2014/main" id="{F035D08B-9F4F-4A93-9617-E330E65FC3E9}"/>
            </a:ext>
          </a:extLst>
        </xdr:cNvPr>
        <xdr:cNvSpPr txBox="1"/>
      </xdr:nvSpPr>
      <xdr:spPr>
        <a:xfrm>
          <a:off x="9229725" y="238126"/>
          <a:ext cx="578664" cy="339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7007346-0EE5-4FA1-8200-52794D580494}" type="TxLink">
            <a:rPr lang="en-US" sz="1500" b="1" i="0" u="none" strike="noStrike">
              <a:solidFill>
                <a:sysClr val="windowText" lastClr="000000"/>
              </a:solidFill>
              <a:latin typeface="Calibri"/>
              <a:cs typeface="Calibri"/>
            </a:rPr>
            <a:pPr/>
            <a:t>15</a:t>
          </a:fld>
          <a:endParaRPr lang="en-US" sz="1500" b="1">
            <a:solidFill>
              <a:sysClr val="windowText" lastClr="000000"/>
            </a:solidFill>
          </a:endParaRPr>
        </a:p>
      </xdr:txBody>
    </xdr:sp>
    <xdr:clientData/>
  </xdr:twoCellAnchor>
  <xdr:twoCellAnchor>
    <xdr:from>
      <xdr:col>17</xdr:col>
      <xdr:colOff>409574</xdr:colOff>
      <xdr:row>0</xdr:row>
      <xdr:rowOff>57151</xdr:rowOff>
    </xdr:from>
    <xdr:to>
      <xdr:col>20</xdr:col>
      <xdr:colOff>268748</xdr:colOff>
      <xdr:row>2</xdr:row>
      <xdr:rowOff>182543</xdr:rowOff>
    </xdr:to>
    <xdr:sp macro="[0]!Clear_All" textlink="">
      <xdr:nvSpPr>
        <xdr:cNvPr id="34" name="TextBox 33">
          <a:extLst>
            <a:ext uri="{FF2B5EF4-FFF2-40B4-BE49-F238E27FC236}">
              <a16:creationId xmlns:a16="http://schemas.microsoft.com/office/drawing/2014/main" id="{801188F6-B6F4-460F-AA17-AAAB62BC33BB}"/>
            </a:ext>
          </a:extLst>
        </xdr:cNvPr>
        <xdr:cNvSpPr txBox="1"/>
      </xdr:nvSpPr>
      <xdr:spPr>
        <a:xfrm>
          <a:off x="10772774" y="57151"/>
          <a:ext cx="1687974" cy="5063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200" b="1">
              <a:solidFill>
                <a:sysClr val="windowText" lastClr="000000"/>
              </a:solidFill>
            </a:rPr>
            <a:t>Clear all</a:t>
          </a:r>
        </a:p>
      </xdr:txBody>
    </xdr:sp>
    <xdr:clientData/>
  </xdr:twoCellAnchor>
  <xdr:twoCellAnchor>
    <xdr:from>
      <xdr:col>0</xdr:col>
      <xdr:colOff>171450</xdr:colOff>
      <xdr:row>3</xdr:row>
      <xdr:rowOff>9526</xdr:rowOff>
    </xdr:from>
    <xdr:to>
      <xdr:col>5</xdr:col>
      <xdr:colOff>371475</xdr:colOff>
      <xdr:row>12</xdr:row>
      <xdr:rowOff>114300</xdr:rowOff>
    </xdr:to>
    <xdr:graphicFrame macro="">
      <xdr:nvGraphicFramePr>
        <xdr:cNvPr id="36" name="Chart 35">
          <a:extLst>
            <a:ext uri="{FF2B5EF4-FFF2-40B4-BE49-F238E27FC236}">
              <a16:creationId xmlns:a16="http://schemas.microsoft.com/office/drawing/2014/main" id="{DB3C762D-B985-438B-AD79-614C676F62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371475</xdr:colOff>
      <xdr:row>3</xdr:row>
      <xdr:rowOff>9525</xdr:rowOff>
    </xdr:from>
    <xdr:to>
      <xdr:col>13</xdr:col>
      <xdr:colOff>169075</xdr:colOff>
      <xdr:row>12</xdr:row>
      <xdr:rowOff>133350</xdr:rowOff>
    </xdr:to>
    <xdr:graphicFrame macro="">
      <xdr:nvGraphicFramePr>
        <xdr:cNvPr id="39" name="Chart 38">
          <a:extLst>
            <a:ext uri="{FF2B5EF4-FFF2-40B4-BE49-F238E27FC236}">
              <a16:creationId xmlns:a16="http://schemas.microsoft.com/office/drawing/2014/main" id="{47B590D2-25BE-40DD-B637-17AFA3E41A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400049</xdr:colOff>
      <xdr:row>12</xdr:row>
      <xdr:rowOff>114300</xdr:rowOff>
    </xdr:from>
    <xdr:to>
      <xdr:col>13</xdr:col>
      <xdr:colOff>209550</xdr:colOff>
      <xdr:row>23</xdr:row>
      <xdr:rowOff>9525</xdr:rowOff>
    </xdr:to>
    <xdr:graphicFrame macro="">
      <xdr:nvGraphicFramePr>
        <xdr:cNvPr id="41" name="Chart 40">
          <a:extLst>
            <a:ext uri="{FF2B5EF4-FFF2-40B4-BE49-F238E27FC236}">
              <a16:creationId xmlns:a16="http://schemas.microsoft.com/office/drawing/2014/main" id="{150B0AF4-60DE-485C-95F4-84395ABB2A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161925</xdr:colOff>
      <xdr:row>12</xdr:row>
      <xdr:rowOff>142875</xdr:rowOff>
    </xdr:from>
    <xdr:to>
      <xdr:col>5</xdr:col>
      <xdr:colOff>381000</xdr:colOff>
      <xdr:row>23</xdr:row>
      <xdr:rowOff>47625</xdr:rowOff>
    </xdr:to>
    <xdr:graphicFrame macro="">
      <xdr:nvGraphicFramePr>
        <xdr:cNvPr id="43" name="Chart 42">
          <a:extLst>
            <a:ext uri="{FF2B5EF4-FFF2-40B4-BE49-F238E27FC236}">
              <a16:creationId xmlns:a16="http://schemas.microsoft.com/office/drawing/2014/main" id="{9A214FB9-1D3C-4E85-98CD-241CF79C9C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17</xdr:col>
      <xdr:colOff>152400</xdr:colOff>
      <xdr:row>10</xdr:row>
      <xdr:rowOff>9525</xdr:rowOff>
    </xdr:from>
    <xdr:to>
      <xdr:col>20</xdr:col>
      <xdr:colOff>361950</xdr:colOff>
      <xdr:row>15</xdr:row>
      <xdr:rowOff>57150</xdr:rowOff>
    </xdr:to>
    <mc:AlternateContent xmlns:mc="http://schemas.openxmlformats.org/markup-compatibility/2006" xmlns:a14="http://schemas.microsoft.com/office/drawing/2010/main">
      <mc:Choice Requires="a14">
        <xdr:graphicFrame macro="">
          <xdr:nvGraphicFramePr>
            <xdr:cNvPr id="44" name="Full/Part Time 2">
              <a:extLst>
                <a:ext uri="{FF2B5EF4-FFF2-40B4-BE49-F238E27FC236}">
                  <a16:creationId xmlns:a16="http://schemas.microsoft.com/office/drawing/2014/main" id="{B467D5E1-C840-3262-9D11-CCFBE39B451D}"/>
                </a:ext>
              </a:extLst>
            </xdr:cNvPr>
            <xdr:cNvGraphicFramePr/>
          </xdr:nvGraphicFramePr>
          <xdr:xfrm>
            <a:off x="0" y="0"/>
            <a:ext cx="0" cy="0"/>
          </xdr:xfrm>
          <a:graphic>
            <a:graphicData uri="http://schemas.microsoft.com/office/drawing/2010/slicer">
              <sle:slicer xmlns:sle="http://schemas.microsoft.com/office/drawing/2010/slicer" name="Full/Part Time 2"/>
            </a:graphicData>
          </a:graphic>
        </xdr:graphicFrame>
      </mc:Choice>
      <mc:Fallback xmlns="">
        <xdr:sp macro="" textlink="">
          <xdr:nvSpPr>
            <xdr:cNvPr id="0" name=""/>
            <xdr:cNvSpPr>
              <a:spLocks noTextEdit="1"/>
            </xdr:cNvSpPr>
          </xdr:nvSpPr>
          <xdr:spPr>
            <a:xfrm>
              <a:off x="10515600" y="1914525"/>
              <a:ext cx="2038350" cy="1000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209550</xdr:colOff>
      <xdr:row>3</xdr:row>
      <xdr:rowOff>28576</xdr:rowOff>
    </xdr:from>
    <xdr:to>
      <xdr:col>17</xdr:col>
      <xdr:colOff>95250</xdr:colOff>
      <xdr:row>15</xdr:row>
      <xdr:rowOff>47626</xdr:rowOff>
    </xdr:to>
    <mc:AlternateContent xmlns:mc="http://schemas.openxmlformats.org/markup-compatibility/2006" xmlns:a14="http://schemas.microsoft.com/office/drawing/2010/main">
      <mc:Choice Requires="a14">
        <xdr:graphicFrame macro="">
          <xdr:nvGraphicFramePr>
            <xdr:cNvPr id="45" name="Department 2">
              <a:extLst>
                <a:ext uri="{FF2B5EF4-FFF2-40B4-BE49-F238E27FC236}">
                  <a16:creationId xmlns:a16="http://schemas.microsoft.com/office/drawing/2014/main" id="{BCB60342-7FB1-9888-583E-508D8849CD14}"/>
                </a:ext>
              </a:extLst>
            </xdr:cNvPr>
            <xdr:cNvGraphicFramePr/>
          </xdr:nvGraphicFramePr>
          <xdr:xfrm>
            <a:off x="0" y="0"/>
            <a:ext cx="0" cy="0"/>
          </xdr:xfrm>
          <a:graphic>
            <a:graphicData uri="http://schemas.microsoft.com/office/drawing/2010/slicer">
              <sle:slicer xmlns:sle="http://schemas.microsoft.com/office/drawing/2010/slicer" name="Department 2"/>
            </a:graphicData>
          </a:graphic>
        </xdr:graphicFrame>
      </mc:Choice>
      <mc:Fallback xmlns="">
        <xdr:sp macro="" textlink="">
          <xdr:nvSpPr>
            <xdr:cNvPr id="0" name=""/>
            <xdr:cNvSpPr>
              <a:spLocks noTextEdit="1"/>
            </xdr:cNvSpPr>
          </xdr:nvSpPr>
          <xdr:spPr>
            <a:xfrm>
              <a:off x="8134350" y="600076"/>
              <a:ext cx="2324100" cy="23050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133350</xdr:colOff>
      <xdr:row>3</xdr:row>
      <xdr:rowOff>38101</xdr:rowOff>
    </xdr:from>
    <xdr:to>
      <xdr:col>20</xdr:col>
      <xdr:colOff>352425</xdr:colOff>
      <xdr:row>9</xdr:row>
      <xdr:rowOff>171451</xdr:rowOff>
    </xdr:to>
    <mc:AlternateContent xmlns:mc="http://schemas.openxmlformats.org/markup-compatibility/2006" xmlns:a14="http://schemas.microsoft.com/office/drawing/2010/main">
      <mc:Choice Requires="a14">
        <xdr:graphicFrame macro="">
          <xdr:nvGraphicFramePr>
            <xdr:cNvPr id="46" name="Region 1">
              <a:extLst>
                <a:ext uri="{FF2B5EF4-FFF2-40B4-BE49-F238E27FC236}">
                  <a16:creationId xmlns:a16="http://schemas.microsoft.com/office/drawing/2014/main" id="{A7D0E73E-523B-003B-F638-8B9BA748DF96}"/>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0496550" y="609601"/>
              <a:ext cx="2047875" cy="1276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266700</xdr:colOff>
      <xdr:row>15</xdr:row>
      <xdr:rowOff>47625</xdr:rowOff>
    </xdr:from>
    <xdr:to>
      <xdr:col>20</xdr:col>
      <xdr:colOff>361950</xdr:colOff>
      <xdr:row>22</xdr:row>
      <xdr:rowOff>171450</xdr:rowOff>
    </xdr:to>
    <xdr:sp macro="" textlink="">
      <xdr:nvSpPr>
        <xdr:cNvPr id="49" name="TextBox 48">
          <a:extLst>
            <a:ext uri="{FF2B5EF4-FFF2-40B4-BE49-F238E27FC236}">
              <a16:creationId xmlns:a16="http://schemas.microsoft.com/office/drawing/2014/main" id="{A2490C0D-55AC-2C70-1328-79C27D36B34D}"/>
            </a:ext>
          </a:extLst>
        </xdr:cNvPr>
        <xdr:cNvSpPr txBox="1"/>
      </xdr:nvSpPr>
      <xdr:spPr>
        <a:xfrm>
          <a:off x="8191500" y="2905125"/>
          <a:ext cx="4362450" cy="145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200" b="1">
              <a:solidFill>
                <a:schemeClr val="dk1"/>
              </a:solidFill>
              <a:effectLst/>
              <a:latin typeface="+mn-lt"/>
              <a:ea typeface="+mn-ea"/>
              <a:cs typeface="+mn-cs"/>
            </a:rPr>
            <a:t>The HR Analytics Dashboard presents a clear overview of employee distribution across departments, regions, floors, and employment types. It highlights key KPIs such as total employees and the proportion of full-time staff. Interactive charts and slicers enable quick filtering and comparison of workforce data. The dashboard supports efficient HR decision-making by providing concise and actionable insights.</a:t>
          </a:r>
          <a:endParaRPr lang="en-US" sz="1200">
            <a:effectLst/>
          </a:endParaRPr>
        </a:p>
        <a:p>
          <a:endParaRPr lang="en-US" sz="12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62.463740046296" createdVersion="8" refreshedVersion="8" minRefreshableVersion="3" recordCount="35" xr:uid="{EBD065FC-BB9C-414A-8547-866999908E2A}">
  <cacheSource type="worksheet">
    <worksheetSource ref="A3:M38" sheet="HR Data"/>
  </cacheSource>
  <cacheFields count="13">
    <cacheField name="Emp No." numFmtId="0">
      <sharedItems containsSemiMixedTypes="0" containsString="0" containsNumber="1" containsInteger="1" minValue="1001" maxValue="1253" count="35">
        <n v="1180"/>
        <n v="1110"/>
        <n v="1232"/>
        <n v="1243"/>
        <n v="1248"/>
        <n v="1227"/>
        <n v="1230"/>
        <n v="1162"/>
        <n v="1001"/>
        <n v="1224"/>
        <n v="1203"/>
        <n v="1211"/>
        <n v="1198"/>
        <n v="1003"/>
        <n v="1235"/>
        <n v="1253"/>
        <n v="1221"/>
        <n v="1186"/>
        <n v="1218"/>
        <n v="1215"/>
        <n v="1241"/>
        <n v="1246"/>
        <n v="1172"/>
        <n v="1134"/>
        <n v="1150"/>
        <n v="1004"/>
        <n v="1239"/>
        <n v="1250"/>
        <n v="1192"/>
        <n v="1249"/>
        <n v="1245"/>
        <n v="1207"/>
        <n v="1244"/>
        <n v="1252"/>
        <n v="1237"/>
      </sharedItems>
    </cacheField>
    <cacheField name="Full/Part Time" numFmtId="0">
      <sharedItems count="2">
        <s v="F"/>
        <s v="P"/>
      </sharedItems>
    </cacheField>
    <cacheField name="Emp ID" numFmtId="0">
      <sharedItems/>
    </cacheField>
    <cacheField name="Last Name" numFmtId="0">
      <sharedItems/>
    </cacheField>
    <cacheField name="First Name" numFmtId="0">
      <sharedItems/>
    </cacheField>
    <cacheField name="Full Name" numFmtId="0">
      <sharedItems/>
    </cacheField>
    <cacheField name="Email" numFmtId="0">
      <sharedItems/>
    </cacheField>
    <cacheField name="Date of Hire" numFmtId="14">
      <sharedItems containsSemiMixedTypes="0" containsNonDate="0" containsDate="1" containsString="0" minDate="2001-02-01T00:00:00" maxDate="2017-06-20T00:00:00"/>
    </cacheField>
    <cacheField name="Department" numFmtId="0">
      <sharedItems count="7">
        <s v="Sales"/>
        <s v="Customer Service"/>
        <s v="Human Resources"/>
        <s v="Accounting"/>
        <s v="Executive"/>
        <s v="Facilities"/>
        <s v="IT"/>
      </sharedItems>
    </cacheField>
    <cacheField name="Location" numFmtId="0">
      <sharedItems count="35">
        <s v="02-West-2635 "/>
        <s v="02-West-2018 "/>
        <s v="02-NorthEast-2347 "/>
        <s v="03-West-2764 "/>
        <s v="02-West-2589 _x001f_"/>
        <s v="03-East-2318 "/>
        <s v="02-East-2694 "/>
        <s v="02-West-2699 "/>
        <s v="01-East-2321 "/>
        <s v="03-West-2432 "/>
        <s v="02-West-2962 "/>
        <s v="03-East-2134 _x001f_"/>
        <s v="01-West-2425 "/>
        <s v="03-West-2796 "/>
        <s v="03-West-2601 "/>
        <s v="02-NorthEast-2414 "/>
        <s v="02-West-2537 "/>
        <s v="02-West-2286 "/>
        <s v="01-East-2086 _x001f_"/>
        <s v="01-East-2358 "/>
        <s v="03-West-2082 "/>
        <s v="03-NorthEast-2482 "/>
        <s v="02-East-2372 "/>
        <s v="03-East-2392 "/>
        <s v="02-West-2279 "/>
        <s v="02-East-2639 "/>
        <s v="02-East-2284 "/>
        <s v="02-East-2910 "/>
        <s v="02-NorthEast-2294 "/>
        <s v="03-West-2765 "/>
        <s v="02-East-2260 "/>
        <s v="02-East-2578 "/>
        <s v="02-East-2654 "/>
        <s v="01-West-2783 "/>
        <s v="02-East-2793 "/>
      </sharedItems>
    </cacheField>
    <cacheField name="Floor No." numFmtId="0">
      <sharedItems count="3">
        <s v="02"/>
        <s v="03"/>
        <s v="01"/>
      </sharedItems>
    </cacheField>
    <cacheField name="Wing" numFmtId="0">
      <sharedItems/>
    </cacheField>
    <cacheField name="Extension " numFmtId="0">
      <sharedItems/>
    </cacheField>
  </cacheFields>
  <extLst>
    <ext xmlns:x14="http://schemas.microsoft.com/office/spreadsheetml/2009/9/main" uri="{725AE2AE-9491-48be-B2B4-4EB974FC3084}">
      <x14:pivotCacheDefinition pivotCacheId="40641226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62.483886111113" createdVersion="8" refreshedVersion="8" minRefreshableVersion="3" recordCount="35" xr:uid="{B7B4AA70-B41C-4BC9-9AD0-C46251C556E3}">
  <cacheSource type="worksheet">
    <worksheetSource ref="A3:N38" sheet="HR Data"/>
  </cacheSource>
  <cacheFields count="14">
    <cacheField name="Emp No." numFmtId="0">
      <sharedItems containsSemiMixedTypes="0" containsString="0" containsNumber="1" containsInteger="1" minValue="1001" maxValue="1253" count="35">
        <n v="1227"/>
        <n v="1235"/>
        <n v="1241"/>
        <n v="1172"/>
        <n v="1110"/>
        <n v="1253"/>
        <n v="1221"/>
        <n v="1186"/>
        <n v="1150"/>
        <n v="1001"/>
        <n v="1252"/>
        <n v="1224"/>
        <n v="1243"/>
        <n v="1211"/>
        <n v="1249"/>
        <n v="1198"/>
        <n v="1003"/>
        <n v="1218"/>
        <n v="1215"/>
        <n v="1246"/>
        <n v="1180"/>
        <n v="1232"/>
        <n v="1248"/>
        <n v="1230"/>
        <n v="1162"/>
        <n v="1203"/>
        <n v="1134"/>
        <n v="1004"/>
        <n v="1239"/>
        <n v="1250"/>
        <n v="1192"/>
        <n v="1245"/>
        <n v="1207"/>
        <n v="1244"/>
        <n v="1237"/>
      </sharedItems>
    </cacheField>
    <cacheField name="Full/Part Time" numFmtId="0">
      <sharedItems count="2">
        <s v="P"/>
        <s v="F"/>
      </sharedItems>
    </cacheField>
    <cacheField name="Emp ID" numFmtId="0">
      <sharedItems/>
    </cacheField>
    <cacheField name="Last Name" numFmtId="0">
      <sharedItems/>
    </cacheField>
    <cacheField name="First Name" numFmtId="0">
      <sharedItems/>
    </cacheField>
    <cacheField name="Full Name" numFmtId="0">
      <sharedItems/>
    </cacheField>
    <cacheField name="Email" numFmtId="0">
      <sharedItems/>
    </cacheField>
    <cacheField name="Date of Hire" numFmtId="14">
      <sharedItems containsSemiMixedTypes="0" containsNonDate="0" containsDate="1" containsString="0" minDate="2001-02-01T00:00:00" maxDate="2017-06-20T00:00:00"/>
    </cacheField>
    <cacheField name="Department" numFmtId="0">
      <sharedItems count="7">
        <s v="Accounting"/>
        <s v="Customer Service"/>
        <s v="Executive"/>
        <s v="Facilities"/>
        <s v="Human Resources"/>
        <s v="IT"/>
        <s v="Sales"/>
      </sharedItems>
    </cacheField>
    <cacheField name="Location" numFmtId="0">
      <sharedItems/>
    </cacheField>
    <cacheField name="Floor No." numFmtId="0">
      <sharedItems count="3">
        <s v="03"/>
        <s v="02"/>
        <s v="01"/>
      </sharedItems>
    </cacheField>
    <cacheField name="Wing" numFmtId="0">
      <sharedItems/>
    </cacheField>
    <cacheField name="Extension " numFmtId="0">
      <sharedItems/>
    </cacheField>
    <cacheField name="Region" numFmtId="0">
      <sharedItems count="3">
        <s v="East"/>
        <s v="West"/>
        <s v="North"/>
      </sharedItems>
    </cacheField>
  </cacheFields>
  <extLst>
    <ext xmlns:x14="http://schemas.microsoft.com/office/spreadsheetml/2009/9/main" uri="{725AE2AE-9491-48be-B2B4-4EB974FC3084}">
      <x14:pivotCacheDefinition pivotCacheId="13721794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
  <r>
    <x v="0"/>
    <x v="0"/>
    <s v="1180F"/>
    <s v="Bacata"/>
    <s v="Stevie"/>
    <s v="Bacata Stevie"/>
    <s v="bstevie@zenco.com"/>
    <d v="2008-04-13T00:00:00"/>
    <x v="0"/>
    <x v="0"/>
    <x v="0"/>
    <s v="Bacata Stevie"/>
    <s v="bstevie@zenco.com"/>
  </r>
  <r>
    <x v="1"/>
    <x v="0"/>
    <s v="1110F"/>
    <s v="BARRY"/>
    <s v="Adam"/>
    <s v="Barry Adam"/>
    <s v="badam@zenco.com"/>
    <d v="2004-04-22T00:00:00"/>
    <x v="1"/>
    <x v="1"/>
    <x v="0"/>
    <s v="Barry Adam"/>
    <s v="badam@zenco.com"/>
  </r>
  <r>
    <x v="2"/>
    <x v="0"/>
    <s v="1232F"/>
    <s v="Betts"/>
    <s v="Connor"/>
    <s v="Betts Connor"/>
    <s v="bconnor@zenco.com"/>
    <d v="2014-11-13T00:00:00"/>
    <x v="0"/>
    <x v="2"/>
    <x v="0"/>
    <s v="Betts Connor"/>
    <s v="bconnor@zenco.com"/>
  </r>
  <r>
    <x v="3"/>
    <x v="1"/>
    <s v="1243P"/>
    <s v="BINGA"/>
    <s v="Fred"/>
    <s v="Binga Fred"/>
    <s v="bfred@zenco.com"/>
    <d v="2015-08-13T00:00:00"/>
    <x v="2"/>
    <x v="3"/>
    <x v="1"/>
    <s v="Binga Fred"/>
    <s v="bfred@zenco.com"/>
  </r>
  <r>
    <x v="4"/>
    <x v="1"/>
    <s v="1248P"/>
    <s v="Biti"/>
    <s v="Yvette"/>
    <s v="Biti Yvette"/>
    <s v="byvette@zenco.com"/>
    <d v="2016-01-15T00:00:00"/>
    <x v="0"/>
    <x v="4"/>
    <x v="0"/>
    <s v="Biti Yvette"/>
    <s v="byvette@zenco.com"/>
  </r>
  <r>
    <x v="5"/>
    <x v="1"/>
    <s v="1227P"/>
    <s v="BOLLER"/>
    <s v="Jim"/>
    <s v="Boller Jim"/>
    <s v="bjim@zenco.com"/>
    <d v="2014-09-11T00:00:00"/>
    <x v="3"/>
    <x v="5"/>
    <x v="1"/>
    <s v="Boller Jim"/>
    <s v="bjim@zenco.com"/>
  </r>
  <r>
    <x v="6"/>
    <x v="1"/>
    <s v="1230P"/>
    <s v="Bui"/>
    <s v="Charlie"/>
    <s v="Bui Charlie"/>
    <s v="bcharlie@zenco.com"/>
    <d v="2014-09-21T00:00:00"/>
    <x v="0"/>
    <x v="6"/>
    <x v="0"/>
    <s v="Bui Charlie"/>
    <s v="bcharlie@zenco.com"/>
  </r>
  <r>
    <x v="7"/>
    <x v="0"/>
    <s v="1162F"/>
    <s v="Carlton"/>
    <s v="Barbara"/>
    <s v="Carlton Barbara"/>
    <s v="cbarbara@zenco.com"/>
    <d v="2006-03-22T00:00:00"/>
    <x v="0"/>
    <x v="7"/>
    <x v="0"/>
    <s v="Carlton Barbara"/>
    <s v="cbarbara@zenco.com"/>
  </r>
  <r>
    <x v="8"/>
    <x v="1"/>
    <s v="1001P"/>
    <s v="CAROL"/>
    <s v="Joe"/>
    <s v="Carol Joe"/>
    <s v="cjoe@zenco.com"/>
    <d v="2001-02-01T00:00:00"/>
    <x v="4"/>
    <x v="8"/>
    <x v="2"/>
    <s v="Carol Joe"/>
    <s v="cjoe@zenco.com"/>
  </r>
  <r>
    <x v="9"/>
    <x v="0"/>
    <s v="1224F"/>
    <s v="CHAFFEE"/>
    <s v="Jim"/>
    <s v="Chaffee Jim"/>
    <s v="cjim@zenco.com"/>
    <d v="2014-05-28T00:00:00"/>
    <x v="5"/>
    <x v="9"/>
    <x v="1"/>
    <s v="Chaffee Jim"/>
    <s v="cjim@zenco.com"/>
  </r>
  <r>
    <x v="10"/>
    <x v="1"/>
    <s v="1203P"/>
    <s v="Chairs"/>
    <s v="Samantha"/>
    <s v="Chairs Samantha"/>
    <s v="csamantha@zenco.com"/>
    <d v="2011-02-21T00:00:00"/>
    <x v="0"/>
    <x v="10"/>
    <x v="0"/>
    <s v="Chairs Samantha"/>
    <s v="csamantha@zenco.com"/>
  </r>
  <r>
    <x v="11"/>
    <x v="1"/>
    <s v="1211P"/>
    <s v="CHAUDRI"/>
    <s v="Uma"/>
    <s v="Chaudri Uma"/>
    <s v="cuma@zenco.com"/>
    <d v="2012-03-26T00:00:00"/>
    <x v="2"/>
    <x v="11"/>
    <x v="1"/>
    <s v="Chaudri Uma"/>
    <s v="cuma@zenco.com"/>
  </r>
  <r>
    <x v="12"/>
    <x v="1"/>
    <s v="1198P"/>
    <s v="CHU"/>
    <s v="Elizabeth"/>
    <s v="Chu Elizabeth"/>
    <s v="celizabeth@zenco.com"/>
    <d v="2010-02-11T00:00:00"/>
    <x v="6"/>
    <x v="12"/>
    <x v="2"/>
    <s v="Chu Elizabeth"/>
    <s v="celizabeth@zenco.com"/>
  </r>
  <r>
    <x v="13"/>
    <x v="0"/>
    <s v="1003F"/>
    <s v="CHUNG"/>
    <s v="Eric"/>
    <s v="Chung Eric"/>
    <s v="ceric@zenco.com"/>
    <d v="2001-02-27T00:00:00"/>
    <x v="6"/>
    <x v="13"/>
    <x v="1"/>
    <s v="Chung Eric"/>
    <s v="ceric@zenco.com"/>
  </r>
  <r>
    <x v="14"/>
    <x v="0"/>
    <s v="1235F"/>
    <s v="CLARK"/>
    <s v="ANNA"/>
    <s v="Clark Anna"/>
    <s v="canna@zenco.com"/>
    <d v="2014-12-16T00:00:00"/>
    <x v="3"/>
    <x v="14"/>
    <x v="1"/>
    <s v="Clark Anna"/>
    <s v="canna@zenco.com"/>
  </r>
  <r>
    <x v="15"/>
    <x v="1"/>
    <s v="1253P"/>
    <s v="CLARK"/>
    <s v="Elizabeth"/>
    <s v="Clark Elizabeth"/>
    <s v="celizabeth@zenco.com"/>
    <d v="2017-06-19T00:00:00"/>
    <x v="1"/>
    <x v="15"/>
    <x v="0"/>
    <s v="Clark Elizabeth"/>
    <s v="celizabeth@zenco.com"/>
  </r>
  <r>
    <x v="16"/>
    <x v="1"/>
    <s v="1221P"/>
    <s v="COLE"/>
    <s v="Sabrina"/>
    <s v="Cole Sabrina"/>
    <s v="csabrina@zenco.com"/>
    <d v="2013-05-07T00:00:00"/>
    <x v="1"/>
    <x v="16"/>
    <x v="0"/>
    <s v="Cole Sabrina"/>
    <s v="csabrina@zenco.com"/>
  </r>
  <r>
    <x v="17"/>
    <x v="0"/>
    <s v="1186F"/>
    <s v="COMUNTZIS"/>
    <s v="Janet"/>
    <s v="Comuntzis Janet"/>
    <s v="cjanet@zenco.com"/>
    <d v="2008-08-26T00:00:00"/>
    <x v="1"/>
    <x v="17"/>
    <x v="0"/>
    <s v="Comuntzis Janet"/>
    <s v="cjanet@zenco.com"/>
  </r>
  <r>
    <x v="18"/>
    <x v="1"/>
    <s v="1218P"/>
    <s v="DECKER"/>
    <s v="Bob"/>
    <s v="Decker Bob"/>
    <s v="dbob@zenco.com"/>
    <d v="2012-10-28T00:00:00"/>
    <x v="6"/>
    <x v="18"/>
    <x v="2"/>
    <s v="Decker Bob"/>
    <s v="dbob@zenco.com"/>
  </r>
  <r>
    <x v="19"/>
    <x v="0"/>
    <s v="1215F"/>
    <s v="DESIATO"/>
    <s v="Tina"/>
    <s v="Desiato Tina"/>
    <s v="dtina@zenco.com"/>
    <d v="2012-09-23T00:00:00"/>
    <x v="6"/>
    <x v="19"/>
    <x v="2"/>
    <s v="Desiato Tina"/>
    <s v="dtina@zenco.com"/>
  </r>
  <r>
    <x v="20"/>
    <x v="1"/>
    <s v="1241P"/>
    <s v="DONNELL"/>
    <s v="Alexandra"/>
    <s v="Donnell Alexandra"/>
    <s v="dalexandra@zenco.com"/>
    <d v="2015-08-12T00:00:00"/>
    <x v="3"/>
    <x v="20"/>
    <x v="1"/>
    <s v="Donnell Alexandra"/>
    <s v="dalexandra@zenco.com"/>
  </r>
  <r>
    <x v="21"/>
    <x v="0"/>
    <s v="1246F"/>
    <s v="ELLIS"/>
    <s v="Mark"/>
    <s v="Ellis Mark"/>
    <s v="emark@zenco.com"/>
    <d v="2016-01-02T00:00:00"/>
    <x v="6"/>
    <x v="21"/>
    <x v="1"/>
    <s v="Ellis Mark"/>
    <s v="emark@zenco.com"/>
  </r>
  <r>
    <x v="22"/>
    <x v="0"/>
    <s v="1172F"/>
    <s v="Fernandes"/>
    <s v="Nicholas"/>
    <s v="Fernandes Nicholas"/>
    <s v="fnicholas@zenco.com"/>
    <d v="2006-11-02T00:00:00"/>
    <x v="3"/>
    <x v="22"/>
    <x v="0"/>
    <s v="Fernandes Nicholas"/>
    <s v="fnicholas@zenco.com"/>
  </r>
  <r>
    <x v="23"/>
    <x v="0"/>
    <s v="1134F"/>
    <s v="FERRIS"/>
    <s v="Mary"/>
    <s v="Ferris Mary"/>
    <s v="fmary@zenco.com"/>
    <d v="2005-07-15T00:00:00"/>
    <x v="0"/>
    <x v="23"/>
    <x v="1"/>
    <s v="Ferris Mary"/>
    <s v="fmary@zenco.com"/>
  </r>
  <r>
    <x v="24"/>
    <x v="0"/>
    <s v="1150F"/>
    <s v="FILOSA"/>
    <s v="Susan"/>
    <s v="Filosa Susan"/>
    <s v="fsusan@zenco.com"/>
    <d v="2006-01-27T00:00:00"/>
    <x v="1"/>
    <x v="24"/>
    <x v="0"/>
    <s v="Filosa Susan"/>
    <s v="fsusan@zenco.com"/>
  </r>
  <r>
    <x v="25"/>
    <x v="1"/>
    <s v="1004P"/>
    <s v="FLANDERS"/>
    <s v="Daniel"/>
    <s v="Flanders Daniel"/>
    <s v="fdaniel@zenco.com"/>
    <d v="2002-09-11T00:00:00"/>
    <x v="0"/>
    <x v="25"/>
    <x v="0"/>
    <s v="Flanders Daniel"/>
    <s v="fdaniel@zenco.com"/>
  </r>
  <r>
    <x v="26"/>
    <x v="0"/>
    <s v="1239F"/>
    <s v="Forrest"/>
    <s v="Leighton"/>
    <s v="Forrest Leighton"/>
    <s v="fleighton@zenco.com"/>
    <d v="2015-04-26T00:00:00"/>
    <x v="0"/>
    <x v="26"/>
    <x v="0"/>
    <s v="Forrest Leighton"/>
    <s v="fleighton@zenco.com"/>
  </r>
  <r>
    <x v="27"/>
    <x v="0"/>
    <s v="1250F"/>
    <s v="Gour"/>
    <s v="Phoebe"/>
    <s v="Gour Phoebe"/>
    <s v="gphoebe@zenco.com"/>
    <d v="2016-12-17T00:00:00"/>
    <x v="0"/>
    <x v="27"/>
    <x v="0"/>
    <s v="Gour Phoebe"/>
    <s v="gphoebe@zenco.com"/>
  </r>
  <r>
    <x v="28"/>
    <x v="1"/>
    <s v="1192P"/>
    <s v="Khan"/>
    <s v="Mihael"/>
    <s v="Khan Mihael"/>
    <s v="kmihael@zenco.com"/>
    <d v="2009-12-13T00:00:00"/>
    <x v="0"/>
    <x v="28"/>
    <x v="0"/>
    <s v="Khan Mihael"/>
    <s v="kmihael@zenco.com"/>
  </r>
  <r>
    <x v="29"/>
    <x v="1"/>
    <s v="1249P"/>
    <s v="SANDERS"/>
    <s v="Sean"/>
    <s v="Sanders Sean"/>
    <s v="ssean@zenco.com"/>
    <d v="2016-11-17T00:00:00"/>
    <x v="2"/>
    <x v="29"/>
    <x v="1"/>
    <s v="Sanders Sean"/>
    <s v="ssean@zenco.com"/>
  </r>
  <r>
    <x v="30"/>
    <x v="1"/>
    <s v="1245P"/>
    <s v="Senome"/>
    <s v="Preston"/>
    <s v="Senome Preston"/>
    <s v="spreston@zenco.com"/>
    <d v="2015-11-16T00:00:00"/>
    <x v="0"/>
    <x v="30"/>
    <x v="0"/>
    <s v="Senome Preston"/>
    <s v="spreston@zenco.com"/>
  </r>
  <r>
    <x v="31"/>
    <x v="1"/>
    <s v="1207P"/>
    <s v="Song"/>
    <s v="Natasha"/>
    <s v="Song Natasha"/>
    <s v="snatasha@zenco.com"/>
    <d v="2011-06-19T00:00:00"/>
    <x v="0"/>
    <x v="31"/>
    <x v="0"/>
    <s v="Song Natasha"/>
    <s v="snatasha@zenco.com"/>
  </r>
  <r>
    <x v="32"/>
    <x v="1"/>
    <s v="1244P"/>
    <s v="Staples"/>
    <s v="Radhya"/>
    <s v="Staples Radhya"/>
    <s v="sradhya@zenco.com"/>
    <d v="2015-11-13T00:00:00"/>
    <x v="0"/>
    <x v="32"/>
    <x v="0"/>
    <s v="Staples Radhya"/>
    <s v="sradhya@zenco.com"/>
  </r>
  <r>
    <x v="33"/>
    <x v="0"/>
    <s v="1252F"/>
    <s v="WANG"/>
    <s v="Mei"/>
    <s v="Wang Mei"/>
    <s v="wmei@zenco.com"/>
    <d v="2010-01-10T00:00:00"/>
    <x v="4"/>
    <x v="33"/>
    <x v="2"/>
    <s v="Wang Mei"/>
    <s v="wmei@zenco.com"/>
  </r>
  <r>
    <x v="34"/>
    <x v="0"/>
    <s v="1237F"/>
    <s v="Zhang"/>
    <s v="Aanya"/>
    <s v="Zhang Aanya"/>
    <s v="zaanya@zenco.com"/>
    <d v="2014-12-29T00:00:00"/>
    <x v="0"/>
    <x v="34"/>
    <x v="0"/>
    <s v="Zhang Aanya"/>
    <s v="zaanya@zenco.co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
  <r>
    <x v="0"/>
    <x v="0"/>
    <s v="1227P"/>
    <s v="BOLLER"/>
    <s v="Jim"/>
    <s v="Boller Jim"/>
    <s v="bjim@zenco.com"/>
    <d v="2014-09-11T00:00:00"/>
    <x v="0"/>
    <s v="03-East-2318 "/>
    <x v="0"/>
    <s v="Boller Jim"/>
    <s v="bjim@zenco.com"/>
    <x v="0"/>
  </r>
  <r>
    <x v="1"/>
    <x v="1"/>
    <s v="1235F"/>
    <s v="CLARK"/>
    <s v="ANNA"/>
    <s v="Clark Anna"/>
    <s v="canna@zenco.com"/>
    <d v="2014-12-16T00:00:00"/>
    <x v="0"/>
    <s v="03-West-2601 "/>
    <x v="0"/>
    <s v="Clark Anna"/>
    <s v="canna@zenco.com"/>
    <x v="1"/>
  </r>
  <r>
    <x v="2"/>
    <x v="0"/>
    <s v="1241P"/>
    <s v="DONNELL"/>
    <s v="Alexandra"/>
    <s v="Donnell Alexandra"/>
    <s v="dalexandra@zenco.com"/>
    <d v="2015-08-12T00:00:00"/>
    <x v="0"/>
    <s v="03-West-2082 "/>
    <x v="0"/>
    <s v="Donnell Alexandra"/>
    <s v="dalexandra@zenco.com"/>
    <x v="1"/>
  </r>
  <r>
    <x v="3"/>
    <x v="1"/>
    <s v="1172F"/>
    <s v="Fernandes"/>
    <s v="Nicholas"/>
    <s v="Fernandes Nicholas"/>
    <s v="fnicholas@zenco.com"/>
    <d v="2006-11-02T00:00:00"/>
    <x v="0"/>
    <s v="02-East-2372 "/>
    <x v="1"/>
    <s v="Fernandes Nicholas"/>
    <s v="fnicholas@zenco.com"/>
    <x v="0"/>
  </r>
  <r>
    <x v="4"/>
    <x v="1"/>
    <s v="1110F"/>
    <s v="BARRY"/>
    <s v="Adam"/>
    <s v="Barry Adam"/>
    <s v="badam@zenco.com"/>
    <d v="2004-04-22T00:00:00"/>
    <x v="1"/>
    <s v="02-West-2018 "/>
    <x v="1"/>
    <s v="Barry Adam"/>
    <s v="badam@zenco.com"/>
    <x v="1"/>
  </r>
  <r>
    <x v="5"/>
    <x v="0"/>
    <s v="1253P"/>
    <s v="CLARK"/>
    <s v="elizabeth"/>
    <s v="Clark Elizabeth"/>
    <s v="celizabeth@zenco.com"/>
    <d v="2017-06-19T00:00:00"/>
    <x v="1"/>
    <s v="02-NorthEast-2414 "/>
    <x v="1"/>
    <s v="Clark Elizabeth"/>
    <s v="celizabeth@zenco.com"/>
    <x v="2"/>
  </r>
  <r>
    <x v="6"/>
    <x v="0"/>
    <s v="1221P"/>
    <s v="COLE"/>
    <s v="Sabrina"/>
    <s v="Cole Sabrina"/>
    <s v="csabrina@zenco.com"/>
    <d v="2013-05-07T00:00:00"/>
    <x v="1"/>
    <s v="02-West-2537 "/>
    <x v="1"/>
    <s v="Cole Sabrina"/>
    <s v="csabrina@zenco.com"/>
    <x v="1"/>
  </r>
  <r>
    <x v="7"/>
    <x v="1"/>
    <s v="1186F"/>
    <s v="COMUNTZIS"/>
    <s v="Janet"/>
    <s v="Comuntzis Janet"/>
    <s v="cjanet@zenco.com"/>
    <d v="2008-08-26T00:00:00"/>
    <x v="1"/>
    <s v="02-West-2286 "/>
    <x v="1"/>
    <s v="Comuntzis Janet"/>
    <s v="cjanet@zenco.com"/>
    <x v="1"/>
  </r>
  <r>
    <x v="8"/>
    <x v="1"/>
    <s v="1150F"/>
    <s v="FILOSA"/>
    <s v="Susan"/>
    <s v="Filosa Susan"/>
    <s v="fsusan@zenco.com"/>
    <d v="2006-01-27T00:00:00"/>
    <x v="1"/>
    <s v="02-West-2279 "/>
    <x v="1"/>
    <s v="Filosa Susan"/>
    <s v="fsusan@zenco.com"/>
    <x v="1"/>
  </r>
  <r>
    <x v="9"/>
    <x v="0"/>
    <s v="1001P"/>
    <s v="CAROL"/>
    <s v="Joe"/>
    <s v="Carol Joe"/>
    <s v="cjoe@zenco.com"/>
    <d v="2001-02-01T00:00:00"/>
    <x v="2"/>
    <s v="01-East-2321 "/>
    <x v="2"/>
    <s v="Carol Joe"/>
    <s v="cjoe@zenco.com"/>
    <x v="0"/>
  </r>
  <r>
    <x v="10"/>
    <x v="1"/>
    <s v="1252F"/>
    <s v="WANG"/>
    <s v="Mei"/>
    <s v="Wang Mei"/>
    <s v="wmei@zenco.com"/>
    <d v="2010-01-10T00:00:00"/>
    <x v="2"/>
    <s v="01-West-2783 "/>
    <x v="2"/>
    <s v="Wang Mei"/>
    <s v="wmei@zenco.com"/>
    <x v="1"/>
  </r>
  <r>
    <x v="11"/>
    <x v="1"/>
    <s v="1224F"/>
    <s v="CHAFFEE"/>
    <s v="Jim"/>
    <s v="Chaffee Jim"/>
    <s v="cjim@zenco.com"/>
    <d v="2014-05-28T00:00:00"/>
    <x v="3"/>
    <s v="03-West-2432 "/>
    <x v="0"/>
    <s v="Chaffee Jim"/>
    <s v="cjim@zenco.com"/>
    <x v="1"/>
  </r>
  <r>
    <x v="12"/>
    <x v="0"/>
    <s v="1243P"/>
    <s v="BINGA"/>
    <s v="Fred"/>
    <s v="Binga Fred"/>
    <s v="bfred@zenco.com"/>
    <d v="2015-08-13T00:00:00"/>
    <x v="4"/>
    <s v="03-West-2764 "/>
    <x v="0"/>
    <s v="Binga Fred"/>
    <s v="bfred@zenco.com"/>
    <x v="1"/>
  </r>
  <r>
    <x v="13"/>
    <x v="0"/>
    <s v="1211P"/>
    <s v="CHAUDRI"/>
    <s v="Uma"/>
    <s v="Chaudri Uma"/>
    <s v="cuma@zenco.com"/>
    <d v="2012-03-26T00:00:00"/>
    <x v="4"/>
    <s v="03-East-2134 _x001f_"/>
    <x v="0"/>
    <s v="Chaudri Uma"/>
    <s v="cuma@zenco.com"/>
    <x v="0"/>
  </r>
  <r>
    <x v="14"/>
    <x v="0"/>
    <s v="1249P"/>
    <s v="SANDERS"/>
    <s v="Sean"/>
    <s v="Sanders Sean"/>
    <s v="ssean@zenco.com"/>
    <d v="2016-11-17T00:00:00"/>
    <x v="4"/>
    <s v="03-West-2765 "/>
    <x v="0"/>
    <s v="Sanders Sean"/>
    <s v="ssean@zenco.com"/>
    <x v="1"/>
  </r>
  <r>
    <x v="15"/>
    <x v="0"/>
    <s v="1198P"/>
    <s v="CHU"/>
    <s v="elizabeth"/>
    <s v="Chu Elizabeth"/>
    <s v="celizabeth@zenco.com"/>
    <d v="2010-02-11T00:00:00"/>
    <x v="5"/>
    <s v="01-West-2425 "/>
    <x v="2"/>
    <s v="Chu Elizabeth"/>
    <s v="celizabeth@zenco.com"/>
    <x v="1"/>
  </r>
  <r>
    <x v="16"/>
    <x v="1"/>
    <s v="1003F"/>
    <s v="CHUNG"/>
    <s v="Eric"/>
    <s v="Chung Eric"/>
    <s v="ceric@zenco.com"/>
    <d v="2001-02-27T00:00:00"/>
    <x v="5"/>
    <s v="03-West-2796 "/>
    <x v="0"/>
    <s v="Chung Eric"/>
    <s v="ceric@zenco.com"/>
    <x v="1"/>
  </r>
  <r>
    <x v="17"/>
    <x v="0"/>
    <s v="1218P"/>
    <s v="DECKER"/>
    <s v="Bob"/>
    <s v="Decker Bob"/>
    <s v="dbob@zenco.com"/>
    <d v="2012-10-28T00:00:00"/>
    <x v="5"/>
    <s v="01-East-2086 _x001f_"/>
    <x v="2"/>
    <s v="Decker Bob"/>
    <s v="dbob@zenco.com"/>
    <x v="0"/>
  </r>
  <r>
    <x v="18"/>
    <x v="1"/>
    <s v="1215F"/>
    <s v="DESIATO"/>
    <s v="Tina"/>
    <s v="Desiato Tina"/>
    <s v="dtina@zenco.com"/>
    <d v="2012-09-23T00:00:00"/>
    <x v="5"/>
    <s v="01-East-2358 "/>
    <x v="2"/>
    <s v="Desiato Tina"/>
    <s v="dtina@zenco.com"/>
    <x v="0"/>
  </r>
  <r>
    <x v="19"/>
    <x v="1"/>
    <s v="1246F"/>
    <s v="ELLIS"/>
    <s v="Mark"/>
    <s v="Ellis Mark"/>
    <s v="emark@zenco.com"/>
    <d v="2016-01-02T00:00:00"/>
    <x v="5"/>
    <s v="03-NorthEast-2482 "/>
    <x v="0"/>
    <s v="Ellis Mark"/>
    <s v="emark@zenco.com"/>
    <x v="2"/>
  </r>
  <r>
    <x v="20"/>
    <x v="1"/>
    <s v="1180F"/>
    <s v="Bacata"/>
    <s v="Stevie"/>
    <s v="Bacata Stevie"/>
    <s v="bstevie@zenco.com"/>
    <d v="2008-04-13T00:00:00"/>
    <x v="6"/>
    <s v="02-West-2635 "/>
    <x v="1"/>
    <s v="Bacata Stevie"/>
    <s v="bstevie@zenco.com"/>
    <x v="1"/>
  </r>
  <r>
    <x v="21"/>
    <x v="1"/>
    <s v="1232F"/>
    <s v="Betts"/>
    <s v="Connor"/>
    <s v="Betts Connor"/>
    <s v="bconnor@zenco.com"/>
    <d v="2014-11-13T00:00:00"/>
    <x v="6"/>
    <s v="02-NorthEast-2347 "/>
    <x v="1"/>
    <s v="Betts Connor"/>
    <s v="bconnor@zenco.com"/>
    <x v="2"/>
  </r>
  <r>
    <x v="22"/>
    <x v="0"/>
    <s v="1248P"/>
    <s v="Biti"/>
    <s v="Yvette"/>
    <s v="Biti Yvette"/>
    <s v="byvette@zenco.com"/>
    <d v="2016-01-15T00:00:00"/>
    <x v="6"/>
    <s v="02-West-2589 _x001f_"/>
    <x v="1"/>
    <s v="Biti Yvette"/>
    <s v="byvette@zenco.com"/>
    <x v="1"/>
  </r>
  <r>
    <x v="23"/>
    <x v="0"/>
    <s v="1230P"/>
    <s v="Bui"/>
    <s v="Charlie"/>
    <s v="Bui Charlie"/>
    <s v="bcharlie@zenco.com"/>
    <d v="2014-09-21T00:00:00"/>
    <x v="6"/>
    <s v="02-East-2694 "/>
    <x v="1"/>
    <s v="Bui Charlie"/>
    <s v="bcharlie@zenco.com"/>
    <x v="0"/>
  </r>
  <r>
    <x v="24"/>
    <x v="1"/>
    <s v="1162F"/>
    <s v="Carlton"/>
    <s v="Barbara"/>
    <s v="Carlton Barbara"/>
    <s v="cbarbara@zenco.com"/>
    <d v="2006-03-22T00:00:00"/>
    <x v="6"/>
    <s v="02-West-2699 "/>
    <x v="1"/>
    <s v="Carlton Barbara"/>
    <s v="cbarbara@zenco.com"/>
    <x v="1"/>
  </r>
  <r>
    <x v="25"/>
    <x v="0"/>
    <s v="1203P"/>
    <s v="Chairs"/>
    <s v="Samantha"/>
    <s v="Chairs Samantha"/>
    <s v="csamantha@zenco.com"/>
    <d v="2011-02-21T00:00:00"/>
    <x v="6"/>
    <s v="02-West-2962 "/>
    <x v="1"/>
    <s v="Chairs Samantha"/>
    <s v="csamantha@zenco.com"/>
    <x v="1"/>
  </r>
  <r>
    <x v="26"/>
    <x v="1"/>
    <s v="1134F"/>
    <s v="FERRIS"/>
    <s v="Mary"/>
    <s v="Ferris Mary"/>
    <s v="fmary@zenco.com"/>
    <d v="2005-07-15T00:00:00"/>
    <x v="6"/>
    <s v="03-East-2392 "/>
    <x v="0"/>
    <s v="Ferris Mary"/>
    <s v="fmary@zenco.com"/>
    <x v="0"/>
  </r>
  <r>
    <x v="27"/>
    <x v="0"/>
    <s v="1004P"/>
    <s v="FLANDERS"/>
    <s v="Daniel"/>
    <s v="Flanders Daniel"/>
    <s v="fdaniel@zenco.com"/>
    <d v="2002-09-11T00:00:00"/>
    <x v="6"/>
    <s v="02-East-2639 "/>
    <x v="1"/>
    <s v="Flanders Daniel"/>
    <s v="fdaniel@zenco.com"/>
    <x v="0"/>
  </r>
  <r>
    <x v="28"/>
    <x v="1"/>
    <s v="1239F"/>
    <s v="Forrest"/>
    <s v="Leighton"/>
    <s v="Forrest Leighton"/>
    <s v="fleighton@zenco.com"/>
    <d v="2015-04-26T00:00:00"/>
    <x v="6"/>
    <s v="02-East-2284 "/>
    <x v="1"/>
    <s v="Forrest Leighton"/>
    <s v="fleighton@zenco.com"/>
    <x v="0"/>
  </r>
  <r>
    <x v="29"/>
    <x v="1"/>
    <s v="1250F"/>
    <s v="Gour"/>
    <s v="Phoebe"/>
    <s v="Gour Phoebe"/>
    <s v="gphoebe@zenco.com"/>
    <d v="2016-12-17T00:00:00"/>
    <x v="6"/>
    <s v="02-East-2910 "/>
    <x v="1"/>
    <s v="Gour Phoebe"/>
    <s v="gphoebe@zenco.com"/>
    <x v="0"/>
  </r>
  <r>
    <x v="30"/>
    <x v="0"/>
    <s v="1192P"/>
    <s v="Khan"/>
    <s v="Mihael"/>
    <s v="Khan Mihael"/>
    <s v="kmihael@zenco.com"/>
    <d v="2009-12-13T00:00:00"/>
    <x v="6"/>
    <s v="02-NorthEast-2294 "/>
    <x v="1"/>
    <s v="Khan Mihael"/>
    <s v="kmihael@zenco.com"/>
    <x v="2"/>
  </r>
  <r>
    <x v="31"/>
    <x v="0"/>
    <s v="1245P"/>
    <s v="Senome"/>
    <s v="Preston"/>
    <s v="Senome Preston"/>
    <s v="spreston@zenco.com"/>
    <d v="2015-11-16T00:00:00"/>
    <x v="6"/>
    <s v="02-East-2260 "/>
    <x v="1"/>
    <s v="Senome Preston"/>
    <s v="spreston@zenco.com"/>
    <x v="0"/>
  </r>
  <r>
    <x v="32"/>
    <x v="0"/>
    <s v="1207P"/>
    <s v="Song"/>
    <s v="Natasha"/>
    <s v="Song Natasha"/>
    <s v="snatasha@zenco.com"/>
    <d v="2011-06-19T00:00:00"/>
    <x v="6"/>
    <s v="02-East-2578 "/>
    <x v="1"/>
    <s v="Song Natasha"/>
    <s v="snatasha@zenco.com"/>
    <x v="0"/>
  </r>
  <r>
    <x v="33"/>
    <x v="0"/>
    <s v="1244P"/>
    <s v="Staples"/>
    <s v="Radhya"/>
    <s v="Staples Radhya"/>
    <s v="sradhya@zenco.com"/>
    <d v="2015-11-13T00:00:00"/>
    <x v="6"/>
    <s v="02-East-2654 "/>
    <x v="1"/>
    <s v="Staples Radhya"/>
    <s v="sradhya@zenco.com"/>
    <x v="0"/>
  </r>
  <r>
    <x v="34"/>
    <x v="1"/>
    <s v="1237F"/>
    <s v="Zhang"/>
    <s v="Aanya"/>
    <s v="Zhang Aanya"/>
    <s v="zaanya@zenco.com"/>
    <d v="2014-12-29T00:00:00"/>
    <x v="6"/>
    <s v="02-East-2793 "/>
    <x v="1"/>
    <s v="Zhang Aanya"/>
    <s v="zaanya@zenco.com"/>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6AAA621-A5FE-497D-8AFE-2DBA4FD1F703}"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J5:BJ6" firstHeaderRow="1" firstDataRow="1" firstDataCol="0"/>
  <pivotFields count="14">
    <pivotField dataField="1" showAll="0"/>
    <pivotField showAll="0">
      <items count="3">
        <item x="1"/>
        <item x="0"/>
        <item t="default"/>
      </items>
    </pivotField>
    <pivotField showAll="0"/>
    <pivotField showAll="0"/>
    <pivotField showAll="0"/>
    <pivotField showAll="0"/>
    <pivotField showAll="0"/>
    <pivotField numFmtId="14" showAll="0"/>
    <pivotField showAll="0">
      <items count="8">
        <item x="0"/>
        <item x="1"/>
        <item x="2"/>
        <item x="3"/>
        <item x="4"/>
        <item x="5"/>
        <item x="6"/>
        <item t="default"/>
      </items>
    </pivotField>
    <pivotField showAll="0"/>
    <pivotField showAll="0">
      <items count="4">
        <item x="2"/>
        <item x="1"/>
        <item x="0"/>
        <item t="default"/>
      </items>
    </pivotField>
    <pivotField showAll="0"/>
    <pivotField showAll="0"/>
    <pivotField showAll="0">
      <items count="4">
        <item x="0"/>
        <item x="2"/>
        <item x="1"/>
        <item t="default"/>
      </items>
    </pivotField>
  </pivotFields>
  <rowItems count="1">
    <i/>
  </rowItems>
  <colItems count="1">
    <i/>
  </colItems>
  <dataFields count="1">
    <dataField name="Sum of Emp No." fld="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0A3EBCE-B217-4F68-85C9-B94F0D95CCF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Z4:AA7" firstHeaderRow="1" firstDataRow="1" firstDataCol="1"/>
  <pivotFields count="13">
    <pivotField dataField="1" showAll="0"/>
    <pivotField axis="axisRow" showAll="0" sortType="ascending">
      <items count="3">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numFmtId="14" showAll="0"/>
    <pivotField showAll="0">
      <items count="8">
        <item x="3"/>
        <item x="1"/>
        <item x="4"/>
        <item x="5"/>
        <item x="2"/>
        <item x="6"/>
        <item x="0"/>
        <item t="default"/>
      </items>
    </pivotField>
    <pivotField showAll="0"/>
    <pivotField showAll="0"/>
    <pivotField showAll="0"/>
    <pivotField showAll="0"/>
  </pivotFields>
  <rowFields count="1">
    <field x="1"/>
  </rowFields>
  <rowItems count="3">
    <i>
      <x/>
    </i>
    <i>
      <x v="1"/>
    </i>
    <i t="grand">
      <x/>
    </i>
  </rowItems>
  <colItems count="1">
    <i/>
  </colItems>
  <dataFields count="1">
    <dataField name="Sum of Emp No." fld="0"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1C74302-B3E4-427E-8806-F99A9FEFECA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U4:V12" firstHeaderRow="1" firstDataRow="1" firstDataCol="1"/>
  <pivotFields count="13">
    <pivotField dataField="1" showAll="0">
      <items count="36">
        <item x="8"/>
        <item x="13"/>
        <item x="25"/>
        <item x="1"/>
        <item x="23"/>
        <item x="24"/>
        <item x="7"/>
        <item x="22"/>
        <item x="0"/>
        <item x="17"/>
        <item x="28"/>
        <item x="12"/>
        <item x="10"/>
        <item x="31"/>
        <item x="11"/>
        <item x="19"/>
        <item x="18"/>
        <item x="16"/>
        <item x="9"/>
        <item x="5"/>
        <item x="6"/>
        <item x="2"/>
        <item x="14"/>
        <item x="34"/>
        <item x="26"/>
        <item x="20"/>
        <item x="3"/>
        <item x="32"/>
        <item x="30"/>
        <item x="21"/>
        <item x="4"/>
        <item x="29"/>
        <item x="27"/>
        <item x="33"/>
        <item x="15"/>
        <item t="default"/>
      </items>
    </pivotField>
    <pivotField showAll="0"/>
    <pivotField showAll="0"/>
    <pivotField showAll="0"/>
    <pivotField showAll="0"/>
    <pivotField showAll="0"/>
    <pivotField showAll="0"/>
    <pivotField numFmtId="14" showAll="0"/>
    <pivotField axis="axisRow" showAll="0" sortType="ascending">
      <items count="8">
        <item x="3"/>
        <item x="1"/>
        <item x="4"/>
        <item x="5"/>
        <item x="2"/>
        <item x="6"/>
        <item x="0"/>
        <item t="default"/>
      </items>
    </pivotField>
    <pivotField showAll="0"/>
    <pivotField showAll="0"/>
    <pivotField showAll="0"/>
    <pivotField showAll="0"/>
  </pivotFields>
  <rowFields count="1">
    <field x="8"/>
  </rowFields>
  <rowItems count="8">
    <i>
      <x/>
    </i>
    <i>
      <x v="1"/>
    </i>
    <i>
      <x v="2"/>
    </i>
    <i>
      <x v="3"/>
    </i>
    <i>
      <x v="4"/>
    </i>
    <i>
      <x v="5"/>
    </i>
    <i>
      <x v="6"/>
    </i>
    <i t="grand">
      <x/>
    </i>
  </rowItems>
  <colItems count="1">
    <i/>
  </colItems>
  <dataFields count="1">
    <dataField name="Count of Emp No." fld="0" subtotal="count" baseField="0" baseItem="0"/>
  </dataFields>
  <chartFormats count="2">
    <chartFormat chart="0"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9643279-427A-4450-87A3-A6FECA410937}"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Z4:BA8" firstHeaderRow="1" firstDataRow="1" firstDataCol="1"/>
  <pivotFields count="14">
    <pivotField showAll="0"/>
    <pivotField dataField="1" showAll="0">
      <items count="3">
        <item x="1"/>
        <item x="0"/>
        <item t="default"/>
      </items>
    </pivotField>
    <pivotField showAll="0"/>
    <pivotField showAll="0"/>
    <pivotField showAll="0"/>
    <pivotField showAll="0"/>
    <pivotField showAll="0"/>
    <pivotField numFmtId="14" showAll="0"/>
    <pivotField showAll="0">
      <items count="8">
        <item x="0"/>
        <item x="1"/>
        <item x="2"/>
        <item x="3"/>
        <item x="4"/>
        <item x="5"/>
        <item x="6"/>
        <item t="default"/>
      </items>
    </pivotField>
    <pivotField showAll="0"/>
    <pivotField showAll="0">
      <items count="4">
        <item x="2"/>
        <item x="1"/>
        <item x="0"/>
        <item t="default"/>
      </items>
    </pivotField>
    <pivotField showAll="0"/>
    <pivotField showAll="0"/>
    <pivotField axis="axisRow" showAll="0">
      <items count="4">
        <item x="0"/>
        <item x="2"/>
        <item x="1"/>
        <item t="default"/>
      </items>
    </pivotField>
  </pivotFields>
  <rowFields count="1">
    <field x="13"/>
  </rowFields>
  <rowItems count="4">
    <i>
      <x/>
    </i>
    <i>
      <x v="1"/>
    </i>
    <i>
      <x v="2"/>
    </i>
    <i t="grand">
      <x/>
    </i>
  </rowItems>
  <colItems count="1">
    <i/>
  </colItems>
  <dataFields count="1">
    <dataField name="Count of Full/Part Time" fld="1"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3" count="1" selected="0">
            <x v="0"/>
          </reference>
        </references>
      </pivotArea>
    </chartFormat>
    <chartFormat chart="0" format="2">
      <pivotArea type="data" outline="0" fieldPosition="0">
        <references count="2">
          <reference field="4294967294" count="1" selected="0">
            <x v="0"/>
          </reference>
          <reference field="13" count="1" selected="0">
            <x v="1"/>
          </reference>
        </references>
      </pivotArea>
    </chartFormat>
    <chartFormat chart="0" format="3">
      <pivotArea type="data" outline="0" fieldPosition="0">
        <references count="2">
          <reference field="4294967294" count="1" selected="0">
            <x v="0"/>
          </reference>
          <reference field="13" count="1" selected="0">
            <x v="2"/>
          </reference>
        </references>
      </pivotArea>
    </chartFormat>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13" count="1" selected="0">
            <x v="0"/>
          </reference>
        </references>
      </pivotArea>
    </chartFormat>
    <chartFormat chart="8" format="10">
      <pivotArea type="data" outline="0" fieldPosition="0">
        <references count="2">
          <reference field="4294967294" count="1" selected="0">
            <x v="0"/>
          </reference>
          <reference field="13" count="1" selected="0">
            <x v="1"/>
          </reference>
        </references>
      </pivotArea>
    </chartFormat>
    <chartFormat chart="8" format="1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79F7E18-1C95-45BD-BC27-584969B8D41E}"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E30:AF34" firstHeaderRow="1" firstDataRow="1" firstDataCol="1"/>
  <pivotFields count="14">
    <pivotField dataField="1" showAll="0"/>
    <pivotField showAll="0">
      <items count="3">
        <item x="1"/>
        <item x="0"/>
        <item t="default"/>
      </items>
    </pivotField>
    <pivotField showAll="0"/>
    <pivotField showAll="0"/>
    <pivotField showAll="0"/>
    <pivotField showAll="0"/>
    <pivotField showAll="0"/>
    <pivotField numFmtId="14" showAll="0"/>
    <pivotField showAll="0">
      <items count="8">
        <item x="0"/>
        <item x="1"/>
        <item x="2"/>
        <item x="3"/>
        <item x="4"/>
        <item x="5"/>
        <item x="6"/>
        <item t="default"/>
      </items>
    </pivotField>
    <pivotField showAll="0"/>
    <pivotField axis="axisRow" showAll="0">
      <items count="4">
        <item x="2"/>
        <item x="1"/>
        <item x="0"/>
        <item t="default"/>
      </items>
    </pivotField>
    <pivotField showAll="0"/>
    <pivotField showAll="0"/>
    <pivotField showAll="0">
      <items count="4">
        <item x="0"/>
        <item x="2"/>
        <item x="1"/>
        <item t="default"/>
      </items>
    </pivotField>
  </pivotFields>
  <rowFields count="1">
    <field x="10"/>
  </rowFields>
  <rowItems count="4">
    <i>
      <x/>
    </i>
    <i>
      <x v="1"/>
    </i>
    <i>
      <x v="2"/>
    </i>
    <i t="grand">
      <x/>
    </i>
  </rowItems>
  <colItems count="1">
    <i/>
  </colItems>
  <dataFields count="1">
    <dataField name="Count of Emp No." fld="0" subtotal="count" baseField="0" baseItem="0"/>
  </dataField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AB1A798-69DC-4579-8469-241DEA327E15}"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M5:CN8" firstHeaderRow="1" firstDataRow="1" firstDataCol="1"/>
  <pivotFields count="14">
    <pivotField dataField="1" showAll="0"/>
    <pivotField axis="axisRow" showAll="0">
      <items count="3">
        <item x="1"/>
        <item x="0"/>
        <item t="default"/>
      </items>
    </pivotField>
    <pivotField showAll="0"/>
    <pivotField showAll="0"/>
    <pivotField showAll="0"/>
    <pivotField showAll="0"/>
    <pivotField showAll="0"/>
    <pivotField numFmtId="14" showAll="0"/>
    <pivotField showAll="0">
      <items count="8">
        <item x="0"/>
        <item x="1"/>
        <item x="2"/>
        <item x="3"/>
        <item x="4"/>
        <item x="5"/>
        <item x="6"/>
        <item t="default"/>
      </items>
    </pivotField>
    <pivotField showAll="0"/>
    <pivotField showAll="0"/>
    <pivotField showAll="0"/>
    <pivotField showAll="0"/>
    <pivotField showAll="0">
      <items count="4">
        <item x="0"/>
        <item x="2"/>
        <item x="1"/>
        <item t="default"/>
      </items>
    </pivotField>
  </pivotFields>
  <rowFields count="1">
    <field x="1"/>
  </rowFields>
  <rowItems count="3">
    <i>
      <x/>
    </i>
    <i>
      <x v="1"/>
    </i>
    <i t="grand">
      <x/>
    </i>
  </rowItems>
  <colItems count="1">
    <i/>
  </colItems>
  <dataFields count="1">
    <dataField name="Count of Emp 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A015B52-6580-4EB7-8954-EF6491C59B2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S4:AS5" firstHeaderRow="1" firstDataRow="1" firstDataCol="0"/>
  <pivotFields count="13">
    <pivotField dataField="1" showAll="0"/>
    <pivotField showAll="0"/>
    <pivotField showAll="0"/>
    <pivotField showAll="0"/>
    <pivotField showAll="0"/>
    <pivotField showAll="0"/>
    <pivotField showAll="0"/>
    <pivotField numFmtId="14" showAll="0"/>
    <pivotField showAll="0">
      <items count="8">
        <item x="3"/>
        <item x="1"/>
        <item x="4"/>
        <item x="5"/>
        <item x="2"/>
        <item x="6"/>
        <item x="0"/>
        <item t="default"/>
      </items>
    </pivotField>
    <pivotField showAll="0">
      <items count="36">
        <item x="18"/>
        <item x="8"/>
        <item x="19"/>
        <item x="12"/>
        <item x="33"/>
        <item x="30"/>
        <item x="26"/>
        <item x="22"/>
        <item x="31"/>
        <item x="25"/>
        <item x="32"/>
        <item x="6"/>
        <item x="34"/>
        <item x="27"/>
        <item x="28"/>
        <item x="2"/>
        <item x="15"/>
        <item x="1"/>
        <item x="24"/>
        <item x="17"/>
        <item x="16"/>
        <item x="4"/>
        <item x="0"/>
        <item x="7"/>
        <item x="10"/>
        <item x="11"/>
        <item x="5"/>
        <item x="23"/>
        <item x="21"/>
        <item x="20"/>
        <item x="9"/>
        <item x="14"/>
        <item x="3"/>
        <item x="29"/>
        <item x="13"/>
        <item t="default"/>
      </items>
    </pivotField>
    <pivotField showAll="0"/>
    <pivotField showAll="0"/>
    <pivotField showAll="0"/>
  </pivotFields>
  <rowItems count="1">
    <i/>
  </rowItems>
  <colItems count="1">
    <i/>
  </colItems>
  <dataFields count="1">
    <dataField name="Count of Emp 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0EB3DEB-64FA-4834-811A-33139952939B}"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E5:CF13" firstHeaderRow="1" firstDataRow="1" firstDataCol="1"/>
  <pivotFields count="14">
    <pivotField dataField="1" showAll="0">
      <items count="36">
        <item x="9"/>
        <item x="16"/>
        <item x="27"/>
        <item x="4"/>
        <item x="26"/>
        <item x="8"/>
        <item x="24"/>
        <item x="3"/>
        <item x="20"/>
        <item x="7"/>
        <item x="30"/>
        <item x="15"/>
        <item x="25"/>
        <item x="32"/>
        <item x="13"/>
        <item x="18"/>
        <item x="17"/>
        <item x="6"/>
        <item x="11"/>
        <item x="0"/>
        <item x="23"/>
        <item x="21"/>
        <item x="1"/>
        <item x="34"/>
        <item x="28"/>
        <item x="2"/>
        <item x="12"/>
        <item x="33"/>
        <item x="31"/>
        <item x="19"/>
        <item x="22"/>
        <item x="14"/>
        <item x="29"/>
        <item x="10"/>
        <item x="5"/>
        <item t="default"/>
      </items>
    </pivotField>
    <pivotField showAll="0">
      <items count="3">
        <item x="1"/>
        <item x="0"/>
        <item t="default"/>
      </items>
    </pivotField>
    <pivotField showAll="0"/>
    <pivotField showAll="0"/>
    <pivotField showAll="0"/>
    <pivotField showAll="0"/>
    <pivotField showAll="0"/>
    <pivotField numFmtId="14" showAll="0"/>
    <pivotField axis="axisRow" showAll="0">
      <items count="8">
        <item x="0"/>
        <item x="1"/>
        <item x="2"/>
        <item x="3"/>
        <item x="4"/>
        <item x="5"/>
        <item x="6"/>
        <item t="default"/>
      </items>
    </pivotField>
    <pivotField showAll="0"/>
    <pivotField showAll="0"/>
    <pivotField showAll="0"/>
    <pivotField showAll="0"/>
    <pivotField showAll="0">
      <items count="4">
        <item x="0"/>
        <item x="2"/>
        <item x="1"/>
        <item t="default"/>
      </items>
    </pivotField>
  </pivotFields>
  <rowFields count="1">
    <field x="8"/>
  </rowFields>
  <rowItems count="8">
    <i>
      <x/>
    </i>
    <i>
      <x v="1"/>
    </i>
    <i>
      <x v="2"/>
    </i>
    <i>
      <x v="3"/>
    </i>
    <i>
      <x v="4"/>
    </i>
    <i>
      <x v="5"/>
    </i>
    <i>
      <x v="6"/>
    </i>
    <i t="grand">
      <x/>
    </i>
  </rowItems>
  <colItems count="1">
    <i/>
  </colItems>
  <dataFields count="1">
    <dataField name="Count of Emp 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3DDE52D-5FDF-4714-962A-B5DF43A2B80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D4:AE8" firstHeaderRow="1" firstDataRow="1" firstDataCol="1"/>
  <pivotFields count="13">
    <pivotField dataField="1" showAll="0"/>
    <pivotField showAll="0"/>
    <pivotField showAll="0"/>
    <pivotField showAll="0"/>
    <pivotField showAll="0"/>
    <pivotField showAll="0"/>
    <pivotField showAll="0"/>
    <pivotField numFmtId="14" showAll="0"/>
    <pivotField showAll="0">
      <items count="8">
        <item x="3"/>
        <item x="1"/>
        <item x="4"/>
        <item x="5"/>
        <item x="2"/>
        <item x="6"/>
        <item x="0"/>
        <item t="default"/>
      </items>
    </pivotField>
    <pivotField showAll="0"/>
    <pivotField axis="axisRow" showAll="0">
      <items count="4">
        <item x="2"/>
        <item x="0"/>
        <item x="1"/>
        <item t="default"/>
      </items>
    </pivotField>
    <pivotField showAll="0"/>
    <pivotField showAll="0"/>
  </pivotFields>
  <rowFields count="1">
    <field x="10"/>
  </rowFields>
  <rowItems count="4">
    <i>
      <x/>
    </i>
    <i>
      <x v="1"/>
    </i>
    <i>
      <x v="2"/>
    </i>
    <i t="grand">
      <x/>
    </i>
  </rowItems>
  <colItems count="1">
    <i/>
  </colItems>
  <dataFields count="1">
    <dataField name="Sum of Emp No." fld="0"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AA20DEE-953B-473F-840F-3FAF435C6971}"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N5:BO15" firstHeaderRow="1" firstDataRow="1" firstDataCol="1"/>
  <pivotFields count="14">
    <pivotField dataField="1" showAll="0"/>
    <pivotField axis="axisRow" showAll="0">
      <items count="3">
        <item x="1"/>
        <item x="0"/>
        <item t="default"/>
      </items>
    </pivotField>
    <pivotField showAll="0"/>
    <pivotField showAll="0"/>
    <pivotField showAll="0"/>
    <pivotField showAll="0"/>
    <pivotField showAll="0"/>
    <pivotField numFmtId="14" showAll="0"/>
    <pivotField showAll="0">
      <items count="8">
        <item x="0"/>
        <item x="1"/>
        <item x="2"/>
        <item x="3"/>
        <item x="4"/>
        <item x="5"/>
        <item x="6"/>
        <item t="default"/>
      </items>
    </pivotField>
    <pivotField showAll="0"/>
    <pivotField showAll="0">
      <items count="4">
        <item x="2"/>
        <item x="1"/>
        <item x="0"/>
        <item t="default"/>
      </items>
    </pivotField>
    <pivotField showAll="0"/>
    <pivotField showAll="0"/>
    <pivotField axis="axisRow" showAll="0">
      <items count="4">
        <item x="0"/>
        <item x="2"/>
        <item x="1"/>
        <item t="default"/>
      </items>
    </pivotField>
  </pivotFields>
  <rowFields count="2">
    <field x="13"/>
    <field x="1"/>
  </rowFields>
  <rowItems count="10">
    <i>
      <x/>
    </i>
    <i r="1">
      <x/>
    </i>
    <i r="1">
      <x v="1"/>
    </i>
    <i>
      <x v="1"/>
    </i>
    <i r="1">
      <x/>
    </i>
    <i r="1">
      <x v="1"/>
    </i>
    <i>
      <x v="2"/>
    </i>
    <i r="1">
      <x/>
    </i>
    <i r="1">
      <x v="1"/>
    </i>
    <i t="grand">
      <x/>
    </i>
  </rowItems>
  <colItems count="1">
    <i/>
  </colItems>
  <dataFields count="1">
    <dataField name="Count of Emp No." fld="0" subtotal="count"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E8FB825A-3371-4BC6-8017-5FCBB7B12706}" sourceName="Department">
  <pivotTables>
    <pivotTable tabId="1" name="PivotTable3"/>
    <pivotTable tabId="1" name="PivotTable1"/>
    <pivotTable tabId="1" name="PivotTable4"/>
    <pivotTable tabId="1" name="PivotTable5"/>
  </pivotTables>
  <data>
    <tabular pivotCacheId="406412261">
      <items count="7">
        <i x="3" s="1"/>
        <i x="1" s="1"/>
        <i x="4" s="1"/>
        <i x="5" s="1"/>
        <i x="2" s="1"/>
        <i x="6"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0770213-FE1E-41C0-B5DF-F1A7A7C9A46D}" sourceName="Region">
  <pivotTables>
    <pivotTable tabId="1" name="PivotTable6"/>
    <pivotTable tabId="1" name="PivotTable7"/>
    <pivotTable tabId="1" name="PivotTable8"/>
    <pivotTable tabId="1" name="PivotTable10"/>
    <pivotTable tabId="1" name="PivotTable2"/>
    <pivotTable tabId="1" name="PivotTable9"/>
  </pivotTables>
  <data>
    <tabular pivotCacheId="1372179498">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ull_Part_Time1" xr10:uid="{100421C3-A81A-49C4-8C63-0F368DB4D68F}" sourceName="Full/Part Time">
  <pivotTables>
    <pivotTable tabId="1" name="PivotTable8"/>
    <pivotTable tabId="1" name="PivotTable10"/>
    <pivotTable tabId="1" name="PivotTable2"/>
    <pivotTable tabId="1" name="PivotTable6"/>
    <pivotTable tabId="1" name="PivotTable7"/>
    <pivotTable tabId="1" name="PivotTable9"/>
  </pivotTables>
  <data>
    <tabular pivotCacheId="1372179498">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1" xr10:uid="{1D37A836-EBCA-49CD-9B23-C8C82F642E63}" sourceName="Department">
  <pivotTables>
    <pivotTable tabId="1" name="PivotTable8"/>
    <pivotTable tabId="1" name="PivotTable10"/>
    <pivotTable tabId="1" name="PivotTable2"/>
    <pivotTable tabId="1" name="PivotTable6"/>
    <pivotTable tabId="1" name="PivotTable7"/>
    <pivotTable tabId="1" name="PivotTable9"/>
  </pivotTables>
  <data>
    <tabular pivotCacheId="1372179498">
      <items count="7">
        <i x="0" s="1"/>
        <i x="1" s="1"/>
        <i x="2" s="1"/>
        <i x="3" s="1"/>
        <i x="4" s="1"/>
        <i x="5"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D0B88F2D-6D7F-4E6E-995D-1D22A292D07B}" cache="Slicer_Department" caption="Department" rowHeight="241300"/>
  <slicer name="Full/Part Time" xr10:uid="{6040ADE5-2C31-42D9-AB64-985CE7CA092A}" cache="Slicer_Full_Part_Time1" caption="Full/Part Tim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9D1965C3-E1C5-4697-BBAC-7170EF126BEB}" cache="Slicer_Region" caption="Region" style="SlicerStyleOther2" rowHeight="241300"/>
  <slicer name="Full/Part Time 2" xr10:uid="{EF1FD5AF-723D-4729-8A9F-9E17AC60A5AF}" cache="Slicer_Full_Part_Time1" caption="Full/Part Time" style="SlicerStyleOther2" rowHeight="241300"/>
  <slicer name="Department 2" xr10:uid="{B327B72A-F884-4539-AF40-04B723458874}" cache="Slicer_Department1" caption="Department" style="SlicerStyleOther2" rowHeight="241300"/>
</slicers>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BOC">
  <a:themeElements>
    <a:clrScheme name="BOC2">
      <a:dk1>
        <a:sysClr val="windowText" lastClr="000000"/>
      </a:dk1>
      <a:lt1>
        <a:sysClr val="window" lastClr="FFFFFF"/>
      </a:lt1>
      <a:dk2>
        <a:srgbClr val="44546A"/>
      </a:dk2>
      <a:lt2>
        <a:srgbClr val="E7E6E6"/>
      </a:lt2>
      <a:accent1>
        <a:srgbClr val="B30738"/>
      </a:accent1>
      <a:accent2>
        <a:srgbClr val="A5A5A5"/>
      </a:accent2>
      <a:accent3>
        <a:srgbClr val="595959"/>
      </a:accent3>
      <a:accent4>
        <a:srgbClr val="4472C4"/>
      </a:accent4>
      <a:accent5>
        <a:srgbClr val="5B9BD5"/>
      </a:accent5>
      <a:accent6>
        <a:srgbClr val="8B1324"/>
      </a:accent6>
      <a:hlink>
        <a:srgbClr val="4472C4"/>
      </a:hlink>
      <a:folHlink>
        <a:srgbClr val="4472C4"/>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Integral">
      <a:fillStyleLst>
        <a:solidFill>
          <a:schemeClr val="phClr"/>
        </a:solidFill>
        <a:gradFill rotWithShape="1">
          <a:gsLst>
            <a:gs pos="0">
              <a:schemeClr val="phClr">
                <a:tint val="83000"/>
                <a:satMod val="100000"/>
                <a:lumMod val="100000"/>
              </a:schemeClr>
            </a:gs>
            <a:gs pos="100000">
              <a:schemeClr val="phClr">
                <a:tint val="61000"/>
                <a:satMod val="150000"/>
                <a:lumMod val="100000"/>
              </a:schemeClr>
            </a:gs>
          </a:gsLst>
          <a:path path="circle">
            <a:fillToRect l="100000" t="100000" r="100000" b="100000"/>
          </a:path>
        </a:gradFill>
        <a:gradFill rotWithShape="1">
          <a:gsLst>
            <a:gs pos="0">
              <a:schemeClr val="phClr">
                <a:tint val="100000"/>
                <a:shade val="85000"/>
                <a:satMod val="100000"/>
                <a:lumMod val="100000"/>
              </a:schemeClr>
            </a:gs>
            <a:gs pos="100000">
              <a:schemeClr val="phClr">
                <a:tint val="90000"/>
                <a:shade val="100000"/>
                <a:satMod val="150000"/>
                <a:lumMod val="100000"/>
              </a:schemeClr>
            </a:gs>
          </a:gsLst>
          <a:path path="circle">
            <a:fillToRect l="100000" t="100000" r="100000" b="100000"/>
          </a:path>
        </a:gradFill>
      </a:fillStyleLst>
      <a:lnStyleLst>
        <a:ln w="9525" cap="flat" cmpd="sng" algn="ctr">
          <a:solidFill>
            <a:schemeClr val="phClr"/>
          </a:solidFill>
          <a:prstDash val="solid"/>
        </a:ln>
        <a:ln w="15875"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50800" dist="12700" dir="5400000" algn="ctr" rotWithShape="0">
              <a:srgbClr val="000000">
                <a:alpha val="50000"/>
              </a:srgbClr>
            </a:outerShdw>
          </a:effectLst>
        </a:effectStyle>
        <a:effectStyle>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hemeClr val="phClr">
                <a:shade val="35000"/>
                <a:satMod val="160000"/>
              </a:schemeClr>
            </a:contourClr>
          </a:sp3d>
        </a:effectStyle>
      </a:effectStyleLst>
      <a:bgFillStyleLst>
        <a:solidFill>
          <a:schemeClr val="phClr"/>
        </a:solidFill>
        <a:solidFill>
          <a:schemeClr val="phClr">
            <a:tint val="95000"/>
            <a:shade val="85000"/>
            <a:satMod val="125000"/>
          </a:schemeClr>
        </a:solidFill>
        <a:blipFill rotWithShape="1">
          <a:blip xmlns:r="http://schemas.openxmlformats.org/officeDocument/2006/relationships" r:embed="rId1">
            <a:duotone>
              <a:schemeClr val="phClr">
                <a:tint val="95000"/>
                <a:shade val="74000"/>
                <a:satMod val="230000"/>
              </a:schemeClr>
              <a:schemeClr val="phClr">
                <a:tint val="92000"/>
                <a:shade val="69000"/>
                <a:satMod val="250000"/>
              </a:schemeClr>
            </a:duotone>
          </a:blip>
          <a:tile tx="0" ty="0" sx="40000" sy="40000" flip="none" algn="tl"/>
        </a:blipFill>
      </a:bgFillStyleLst>
    </a:fmtScheme>
  </a:themeElements>
  <a:objectDefaults/>
  <a:extraClrSchemeLst/>
  <a:extLst>
    <a:ext uri="{05A4C25C-085E-4340-85A3-A5531E510DB2}">
      <thm15:themeFamily xmlns:thm15="http://schemas.microsoft.com/office/thememl/2012/main" name="Integral" id="{3577F8C9-A904-41D8-97D2-FD898F53F20E}" vid="{682D6EBE-8D36-4FF2-9DB3-F3D8D7B6715D}"/>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2.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8535D1-C836-4F64-B2E2-7578EE4D7B3D}">
  <sheetPr codeName="Sheet1"/>
  <dimension ref="B2:P27"/>
  <sheetViews>
    <sheetView showGridLines="0" topLeftCell="A24" zoomScale="105" zoomScaleNormal="120" workbookViewId="0">
      <selection activeCell="C26" sqref="C26"/>
    </sheetView>
  </sheetViews>
  <sheetFormatPr defaultRowHeight="15" x14ac:dyDescent="0.25"/>
  <cols>
    <col min="1" max="1" width="5.28515625" customWidth="1"/>
    <col min="2" max="2" width="4.42578125" style="7" customWidth="1"/>
    <col min="8" max="8" width="16.85546875" customWidth="1"/>
    <col min="15" max="15" width="23.42578125" customWidth="1"/>
    <col min="16" max="16" width="7.42578125" customWidth="1"/>
  </cols>
  <sheetData>
    <row r="2" spans="2:16" ht="31.5" x14ac:dyDescent="0.5">
      <c r="I2" s="16" t="s">
        <v>148</v>
      </c>
      <c r="J2" s="16"/>
      <c r="K2" s="16"/>
      <c r="L2" s="16"/>
      <c r="M2" s="16"/>
      <c r="N2" s="16"/>
      <c r="O2" s="16"/>
      <c r="P2" s="16"/>
    </row>
    <row r="3" spans="2:16" ht="21" x14ac:dyDescent="0.35">
      <c r="I3" s="17" t="s">
        <v>149</v>
      </c>
      <c r="J3" s="17"/>
      <c r="K3" s="17"/>
      <c r="L3" s="17"/>
      <c r="M3" s="17"/>
      <c r="N3" s="17"/>
      <c r="O3" s="17"/>
      <c r="P3" s="17"/>
    </row>
    <row r="4" spans="2:16" ht="17.649999999999999" customHeight="1" x14ac:dyDescent="0.25"/>
    <row r="5" spans="2:16" ht="21.4" customHeight="1" x14ac:dyDescent="0.25">
      <c r="I5" s="15" t="s">
        <v>137</v>
      </c>
      <c r="J5" s="15"/>
      <c r="K5" s="15"/>
      <c r="L5" s="15"/>
      <c r="M5" s="15"/>
      <c r="N5" s="15"/>
      <c r="O5" s="15"/>
      <c r="P5" s="15"/>
    </row>
    <row r="8" spans="2:16" ht="19.5" thickBot="1" x14ac:dyDescent="0.35">
      <c r="B8" s="11" t="s">
        <v>118</v>
      </c>
      <c r="C8" s="6"/>
      <c r="D8" s="6"/>
      <c r="E8" s="6"/>
      <c r="F8" s="6"/>
      <c r="G8" s="6"/>
      <c r="H8" s="6"/>
      <c r="I8" s="6"/>
      <c r="J8" s="6"/>
      <c r="K8" s="6"/>
      <c r="L8" s="6"/>
      <c r="M8" s="6"/>
      <c r="N8" s="6"/>
      <c r="O8" s="6"/>
      <c r="P8" s="6"/>
    </row>
    <row r="9" spans="2:16" x14ac:dyDescent="0.25">
      <c r="B9" t="s">
        <v>138</v>
      </c>
    </row>
    <row r="10" spans="2:16" ht="8.25" customHeight="1" x14ac:dyDescent="0.25"/>
    <row r="11" spans="2:16" x14ac:dyDescent="0.25">
      <c r="B11" s="7" t="s">
        <v>119</v>
      </c>
      <c r="C11" t="s">
        <v>139</v>
      </c>
    </row>
    <row r="12" spans="2:16" ht="8.25" customHeight="1" x14ac:dyDescent="0.25"/>
    <row r="13" spans="2:16" x14ac:dyDescent="0.25">
      <c r="B13" s="7" t="s">
        <v>121</v>
      </c>
      <c r="C13" t="s">
        <v>145</v>
      </c>
    </row>
    <row r="14" spans="2:16" ht="8.25" customHeight="1" x14ac:dyDescent="0.25"/>
    <row r="15" spans="2:16" x14ac:dyDescent="0.25">
      <c r="B15" s="7" t="s">
        <v>132</v>
      </c>
      <c r="C15" t="s">
        <v>140</v>
      </c>
    </row>
    <row r="16" spans="2:16" x14ac:dyDescent="0.25">
      <c r="B16" s="7" t="s">
        <v>120</v>
      </c>
      <c r="C16" t="s">
        <v>146</v>
      </c>
    </row>
    <row r="17" spans="2:16" ht="8.25" customHeight="1" x14ac:dyDescent="0.25"/>
    <row r="18" spans="2:16" x14ac:dyDescent="0.25">
      <c r="B18" s="7" t="s">
        <v>133</v>
      </c>
      <c r="C18" t="s">
        <v>142</v>
      </c>
      <c r="P18" s="8" t="s">
        <v>122</v>
      </c>
    </row>
    <row r="19" spans="2:16" x14ac:dyDescent="0.25">
      <c r="B19" s="7" t="s">
        <v>120</v>
      </c>
      <c r="C19" t="s">
        <v>147</v>
      </c>
    </row>
    <row r="20" spans="2:16" ht="8.25" customHeight="1" x14ac:dyDescent="0.25"/>
    <row r="21" spans="2:16" x14ac:dyDescent="0.25">
      <c r="B21" s="7" t="s">
        <v>130</v>
      </c>
      <c r="C21" t="s">
        <v>143</v>
      </c>
      <c r="P21" s="8" t="s">
        <v>122</v>
      </c>
    </row>
    <row r="22" spans="2:16" x14ac:dyDescent="0.25">
      <c r="B22" s="7" t="s">
        <v>120</v>
      </c>
      <c r="C22" t="s">
        <v>141</v>
      </c>
    </row>
    <row r="23" spans="2:16" ht="8.25" customHeight="1" x14ac:dyDescent="0.25"/>
    <row r="24" spans="2:16" x14ac:dyDescent="0.25">
      <c r="B24" s="7" t="s">
        <v>131</v>
      </c>
      <c r="C24" t="s">
        <v>144</v>
      </c>
    </row>
    <row r="25" spans="2:16" x14ac:dyDescent="0.25">
      <c r="B25" s="7" t="s">
        <v>120</v>
      </c>
      <c r="C25" t="s">
        <v>134</v>
      </c>
      <c r="P25" s="8" t="s">
        <v>122</v>
      </c>
    </row>
    <row r="26" spans="2:16" x14ac:dyDescent="0.25">
      <c r="B26" s="7" t="s">
        <v>150</v>
      </c>
      <c r="C26" t="s">
        <v>151</v>
      </c>
    </row>
    <row r="27" spans="2:16" x14ac:dyDescent="0.25">
      <c r="B27" s="10" t="s">
        <v>136</v>
      </c>
    </row>
  </sheetData>
  <mergeCells count="3">
    <mergeCell ref="I5:P5"/>
    <mergeCell ref="I2:P2"/>
    <mergeCell ref="I3:P3"/>
  </mergeCells>
  <dataValidations count="3">
    <dataValidation allowBlank="1" showInputMessage="1" showErrorMessage="1" promptTitle="Hint:" prompt="You will need to use a LEFT function as well as a CONCATENATE or &amp;." sqref="P18" xr:uid="{1B82BFE0-3A03-46B5-80F3-AED050C99618}"/>
    <dataValidation allowBlank="1" showInputMessage="1" showErrorMessage="1" promptTitle="Hint:" prompt="There are extra characters at the end of the location data. Try finding out what they are and then use CLEAN, UNICHAR and SUBSTITUTE to remove them." sqref="P25" xr:uid="{061A439B-B230-4B2F-B263-DE3D87D93714}"/>
    <dataValidation allowBlank="1" showInputMessage="1" showErrorMessage="1" promptTitle="Hint:" prompt="You will need to use a MID and a FIND." sqref="P21" xr:uid="{6E0AF74D-7A94-4F91-98F3-2D44927E44D9}"/>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CP38"/>
  <sheetViews>
    <sheetView topLeftCell="Z27" zoomScale="99" zoomScaleNormal="100" workbookViewId="0">
      <selection activeCell="AI37" sqref="AI37"/>
    </sheetView>
  </sheetViews>
  <sheetFormatPr defaultRowHeight="15" x14ac:dyDescent="0.25"/>
  <cols>
    <col min="1" max="1" width="8.7109375" style="10" customWidth="1"/>
    <col min="2" max="2" width="13" bestFit="1" customWidth="1"/>
    <col min="3" max="3" width="14.5703125" customWidth="1"/>
    <col min="4" max="5" width="13" customWidth="1"/>
    <col min="6" max="6" width="18.85546875" customWidth="1"/>
    <col min="7" max="7" width="22.42578125" customWidth="1"/>
    <col min="8" max="8" width="14" customWidth="1"/>
    <col min="9" max="9" width="17.7109375" customWidth="1"/>
    <col min="10" max="10" width="18.7109375" customWidth="1"/>
    <col min="11" max="11" width="10.140625" customWidth="1"/>
    <col min="12" max="12" width="18" customWidth="1"/>
    <col min="13" max="13" width="29.28515625" customWidth="1"/>
    <col min="14" max="14" width="18" customWidth="1"/>
    <col min="21" max="21" width="17" bestFit="1" customWidth="1"/>
    <col min="22" max="22" width="16.7109375" bestFit="1" customWidth="1"/>
    <col min="26" max="26" width="13.28515625" bestFit="1" customWidth="1"/>
    <col min="27" max="27" width="15.28515625" bestFit="1" customWidth="1"/>
    <col min="30" max="31" width="13.28515625" bestFit="1" customWidth="1"/>
    <col min="32" max="32" width="16.7109375" bestFit="1" customWidth="1"/>
    <col min="45" max="45" width="16.7109375" bestFit="1" customWidth="1"/>
    <col min="46" max="46" width="15.140625" bestFit="1" customWidth="1"/>
    <col min="52" max="52" width="13.28515625" bestFit="1" customWidth="1"/>
    <col min="53" max="53" width="22.28515625" bestFit="1" customWidth="1"/>
    <col min="62" max="62" width="15.28515625" bestFit="1" customWidth="1"/>
    <col min="66" max="66" width="13.28515625" bestFit="1" customWidth="1"/>
    <col min="67" max="67" width="16.7109375" bestFit="1" customWidth="1"/>
    <col min="83" max="83" width="17" bestFit="1" customWidth="1"/>
    <col min="84" max="84" width="16.7109375" bestFit="1" customWidth="1"/>
    <col min="91" max="91" width="13.28515625" bestFit="1" customWidth="1"/>
    <col min="92" max="92" width="16.7109375" bestFit="1" customWidth="1"/>
  </cols>
  <sheetData>
    <row r="1" spans="1:94" ht="23.25" x14ac:dyDescent="0.35">
      <c r="A1" s="9" t="s">
        <v>81</v>
      </c>
      <c r="B1" s="3"/>
      <c r="C1" s="3"/>
    </row>
    <row r="3" spans="1:94" ht="31.5" x14ac:dyDescent="0.25">
      <c r="A3" s="4" t="s">
        <v>129</v>
      </c>
      <c r="B3" s="4" t="s">
        <v>126</v>
      </c>
      <c r="C3" s="4" t="s">
        <v>0</v>
      </c>
      <c r="D3" s="4" t="s">
        <v>124</v>
      </c>
      <c r="E3" s="4" t="s">
        <v>125</v>
      </c>
      <c r="F3" s="4" t="s">
        <v>1</v>
      </c>
      <c r="G3" s="4" t="s">
        <v>2</v>
      </c>
      <c r="H3" s="4" t="s">
        <v>3</v>
      </c>
      <c r="I3" s="4" t="s">
        <v>4</v>
      </c>
      <c r="J3" s="4" t="s">
        <v>5</v>
      </c>
      <c r="K3" s="4" t="s">
        <v>123</v>
      </c>
      <c r="L3" s="4" t="s">
        <v>80</v>
      </c>
      <c r="M3" s="4" t="s">
        <v>135</v>
      </c>
      <c r="N3" s="13" t="s">
        <v>159</v>
      </c>
    </row>
    <row r="4" spans="1:94" x14ac:dyDescent="0.25">
      <c r="A4" s="10">
        <v>1227</v>
      </c>
      <c r="B4" t="s">
        <v>128</v>
      </c>
      <c r="C4" t="str">
        <f t="shared" ref="C4:C38" si="0">A4&amp;B4</f>
        <v>1227P</v>
      </c>
      <c r="D4" t="s">
        <v>25</v>
      </c>
      <c r="E4" s="5" t="s">
        <v>36</v>
      </c>
      <c r="F4" t="str">
        <f t="shared" ref="F4:F38" si="1">PROPER(D4&amp;" "&amp;E4)</f>
        <v>Boller Jim</v>
      </c>
      <c r="G4" t="str">
        <f t="shared" ref="G4:G38" si="2">LOWER(LEFT(D4,1)&amp;E4&amp;"@zenco.com")</f>
        <v>bjim@zenco.com</v>
      </c>
      <c r="H4" s="1">
        <v>41893</v>
      </c>
      <c r="I4" s="2" t="s">
        <v>15</v>
      </c>
      <c r="J4" s="2" t="s">
        <v>87</v>
      </c>
      <c r="K4" s="2" t="str">
        <f t="shared" ref="K4:K38" si="3">LEFT(J4,2)</f>
        <v>03</v>
      </c>
      <c r="L4" t="str">
        <f t="shared" ref="L4:L38" si="4">PROPER(D4&amp;" "&amp;E4)</f>
        <v>Boller Jim</v>
      </c>
      <c r="M4" t="str">
        <f t="shared" ref="M4:M38" si="5">LOWER(LEFT(D4,1)&amp;E4&amp;"@zenco.com")</f>
        <v>bjim@zenco.com</v>
      </c>
      <c r="N4" t="str">
        <f>IF(ISNUMBER(SEARCH("North",J4)),"North",IF(ISNUMBER(SEARCH("East",J4)),"East",IF(ISNUMBER(SEARCH("West",J4)),"West","")))</f>
        <v>East</v>
      </c>
      <c r="U4" s="12" t="s">
        <v>153</v>
      </c>
      <c r="V4" t="s">
        <v>158</v>
      </c>
      <c r="Z4" s="12" t="s">
        <v>153</v>
      </c>
      <c r="AA4" t="s">
        <v>152</v>
      </c>
      <c r="AD4" s="12" t="s">
        <v>153</v>
      </c>
      <c r="AE4" t="s">
        <v>152</v>
      </c>
      <c r="AS4" t="s">
        <v>158</v>
      </c>
      <c r="AZ4" s="12" t="s">
        <v>153</v>
      </c>
      <c r="BA4" t="s">
        <v>163</v>
      </c>
    </row>
    <row r="5" spans="1:94" x14ac:dyDescent="0.25">
      <c r="A5" s="10">
        <v>1235</v>
      </c>
      <c r="B5" t="s">
        <v>127</v>
      </c>
      <c r="C5" t="str">
        <f t="shared" si="0"/>
        <v>1235F</v>
      </c>
      <c r="D5" t="s">
        <v>24</v>
      </c>
      <c r="E5" s="5" t="s">
        <v>73</v>
      </c>
      <c r="F5" t="str">
        <f t="shared" si="1"/>
        <v>Clark Anna</v>
      </c>
      <c r="G5" t="str">
        <f t="shared" si="2"/>
        <v>canna@zenco.com</v>
      </c>
      <c r="H5" s="1">
        <v>41989</v>
      </c>
      <c r="I5" s="2" t="s">
        <v>15</v>
      </c>
      <c r="J5" s="2" t="s">
        <v>95</v>
      </c>
      <c r="K5" s="2" t="str">
        <f t="shared" si="3"/>
        <v>03</v>
      </c>
      <c r="L5" t="str">
        <f t="shared" si="4"/>
        <v>Clark Anna</v>
      </c>
      <c r="M5" t="str">
        <f t="shared" si="5"/>
        <v>canna@zenco.com</v>
      </c>
      <c r="N5" t="str">
        <f t="shared" ref="N5:N38" si="6">IF(ISNUMBER(SEARCH("North",J5)),"North",IF(ISNUMBER(SEARCH("East",J5)),"East",IF(ISNUMBER(SEARCH("West",J5)),"West","")))</f>
        <v>West</v>
      </c>
      <c r="U5" s="10" t="s">
        <v>15</v>
      </c>
      <c r="V5" s="18">
        <v>4</v>
      </c>
      <c r="Z5" s="10" t="s">
        <v>127</v>
      </c>
      <c r="AA5" s="18">
        <v>20227</v>
      </c>
      <c r="AD5" s="10" t="s">
        <v>155</v>
      </c>
      <c r="AE5" s="18">
        <v>5884</v>
      </c>
      <c r="AS5" s="18">
        <v>35</v>
      </c>
      <c r="AZ5" s="10" t="s">
        <v>160</v>
      </c>
      <c r="BA5" s="18">
        <v>15</v>
      </c>
      <c r="BJ5" t="s">
        <v>152</v>
      </c>
      <c r="BN5" s="12" t="s">
        <v>153</v>
      </c>
      <c r="BO5" t="s">
        <v>158</v>
      </c>
      <c r="CE5" s="12" t="s">
        <v>153</v>
      </c>
      <c r="CF5" t="s">
        <v>158</v>
      </c>
      <c r="CM5" s="12" t="s">
        <v>153</v>
      </c>
      <c r="CN5" t="s">
        <v>158</v>
      </c>
    </row>
    <row r="6" spans="1:94" x14ac:dyDescent="0.25">
      <c r="A6" s="10">
        <v>1241</v>
      </c>
      <c r="B6" t="s">
        <v>128</v>
      </c>
      <c r="C6" t="str">
        <f t="shared" si="0"/>
        <v>1241P</v>
      </c>
      <c r="D6" t="s">
        <v>13</v>
      </c>
      <c r="E6" s="5" t="s">
        <v>34</v>
      </c>
      <c r="F6" t="str">
        <f t="shared" si="1"/>
        <v>Donnell Alexandra</v>
      </c>
      <c r="G6" t="str">
        <f t="shared" si="2"/>
        <v>dalexandra@zenco.com</v>
      </c>
      <c r="H6" s="1">
        <v>42228</v>
      </c>
      <c r="I6" s="2" t="s">
        <v>15</v>
      </c>
      <c r="J6" s="2" t="s">
        <v>100</v>
      </c>
      <c r="K6" s="2" t="str">
        <f t="shared" si="3"/>
        <v>03</v>
      </c>
      <c r="L6" t="str">
        <f t="shared" si="4"/>
        <v>Donnell Alexandra</v>
      </c>
      <c r="M6" t="str">
        <f t="shared" si="5"/>
        <v>dalexandra@zenco.com</v>
      </c>
      <c r="N6" t="str">
        <f t="shared" si="6"/>
        <v>West</v>
      </c>
      <c r="U6" s="10" t="s">
        <v>30</v>
      </c>
      <c r="V6" s="18">
        <v>5</v>
      </c>
      <c r="Z6" s="10" t="s">
        <v>128</v>
      </c>
      <c r="AA6" s="18">
        <v>21635</v>
      </c>
      <c r="AD6" s="10" t="s">
        <v>156</v>
      </c>
      <c r="AE6" s="18">
        <v>23965</v>
      </c>
      <c r="AZ6" s="10" t="s">
        <v>161</v>
      </c>
      <c r="BA6" s="18">
        <v>4</v>
      </c>
      <c r="BJ6" s="18">
        <v>41862</v>
      </c>
      <c r="BN6" s="10" t="s">
        <v>160</v>
      </c>
      <c r="BO6" s="18">
        <v>15</v>
      </c>
      <c r="CE6" s="10" t="s">
        <v>15</v>
      </c>
      <c r="CF6" s="18">
        <v>4</v>
      </c>
      <c r="CM6" s="10" t="s">
        <v>127</v>
      </c>
      <c r="CN6" s="18">
        <v>17</v>
      </c>
    </row>
    <row r="7" spans="1:94" x14ac:dyDescent="0.25">
      <c r="A7" s="10">
        <v>1172</v>
      </c>
      <c r="B7" t="s">
        <v>127</v>
      </c>
      <c r="C7" t="str">
        <f t="shared" si="0"/>
        <v>1172F</v>
      </c>
      <c r="D7" t="s">
        <v>64</v>
      </c>
      <c r="E7" s="5" t="s">
        <v>63</v>
      </c>
      <c r="F7" t="str">
        <f t="shared" si="1"/>
        <v>Fernandes Nicholas</v>
      </c>
      <c r="G7" t="str">
        <f t="shared" si="2"/>
        <v>fnicholas@zenco.com</v>
      </c>
      <c r="H7" s="1">
        <v>39023</v>
      </c>
      <c r="I7" s="2" t="s">
        <v>15</v>
      </c>
      <c r="J7" s="2" t="s">
        <v>102</v>
      </c>
      <c r="K7" s="2" t="str">
        <f t="shared" si="3"/>
        <v>02</v>
      </c>
      <c r="L7" t="str">
        <f t="shared" si="4"/>
        <v>Fernandes Nicholas</v>
      </c>
      <c r="M7" t="str">
        <f t="shared" si="5"/>
        <v>fnicholas@zenco.com</v>
      </c>
      <c r="N7" t="str">
        <f t="shared" si="6"/>
        <v>East</v>
      </c>
      <c r="U7" s="10" t="s">
        <v>28</v>
      </c>
      <c r="V7" s="18">
        <v>2</v>
      </c>
      <c r="Z7" s="10" t="s">
        <v>154</v>
      </c>
      <c r="AA7" s="18">
        <v>41862</v>
      </c>
      <c r="AD7" s="10" t="s">
        <v>157</v>
      </c>
      <c r="AE7" s="18">
        <v>12013</v>
      </c>
      <c r="AZ7" s="10" t="s">
        <v>162</v>
      </c>
      <c r="BA7" s="18">
        <v>16</v>
      </c>
      <c r="BN7" s="14" t="s">
        <v>127</v>
      </c>
      <c r="BO7" s="18">
        <v>6</v>
      </c>
      <c r="CE7" s="10" t="s">
        <v>30</v>
      </c>
      <c r="CF7" s="18">
        <v>5</v>
      </c>
      <c r="CM7" s="10" t="s">
        <v>128</v>
      </c>
      <c r="CN7" s="18">
        <v>18</v>
      </c>
    </row>
    <row r="8" spans="1:94" x14ac:dyDescent="0.25">
      <c r="A8" s="10">
        <v>1110</v>
      </c>
      <c r="B8" t="s">
        <v>127</v>
      </c>
      <c r="C8" t="str">
        <f t="shared" si="0"/>
        <v>1110F</v>
      </c>
      <c r="D8" t="s">
        <v>7</v>
      </c>
      <c r="E8" s="5" t="s">
        <v>11</v>
      </c>
      <c r="F8" t="str">
        <f t="shared" si="1"/>
        <v>Barry Adam</v>
      </c>
      <c r="G8" t="str">
        <f t="shared" si="2"/>
        <v>badam@zenco.com</v>
      </c>
      <c r="H8" s="1">
        <v>38099</v>
      </c>
      <c r="I8" s="2" t="s">
        <v>30</v>
      </c>
      <c r="J8" s="2" t="s">
        <v>84</v>
      </c>
      <c r="K8" s="2" t="str">
        <f t="shared" si="3"/>
        <v>02</v>
      </c>
      <c r="L8" t="str">
        <f t="shared" si="4"/>
        <v>Barry Adam</v>
      </c>
      <c r="M8" t="str">
        <f t="shared" si="5"/>
        <v>badam@zenco.com</v>
      </c>
      <c r="N8" t="str">
        <f t="shared" si="6"/>
        <v>West</v>
      </c>
      <c r="U8" s="10" t="s">
        <v>12</v>
      </c>
      <c r="V8" s="18">
        <v>1</v>
      </c>
      <c r="AD8" s="10" t="s">
        <v>154</v>
      </c>
      <c r="AE8" s="18">
        <v>41862</v>
      </c>
      <c r="AS8">
        <v>35</v>
      </c>
      <c r="AZ8" s="10" t="s">
        <v>154</v>
      </c>
      <c r="BA8" s="18">
        <v>35</v>
      </c>
      <c r="BN8" s="14" t="s">
        <v>128</v>
      </c>
      <c r="BO8" s="18">
        <v>9</v>
      </c>
      <c r="CE8" s="10" t="s">
        <v>28</v>
      </c>
      <c r="CF8" s="18">
        <v>2</v>
      </c>
      <c r="CM8" s="10" t="s">
        <v>154</v>
      </c>
      <c r="CN8" s="18">
        <v>35</v>
      </c>
    </row>
    <row r="9" spans="1:94" x14ac:dyDescent="0.25">
      <c r="A9" s="10">
        <v>1253</v>
      </c>
      <c r="B9" t="s">
        <v>128</v>
      </c>
      <c r="C9" t="str">
        <f t="shared" si="0"/>
        <v>1253P</v>
      </c>
      <c r="D9" t="s">
        <v>24</v>
      </c>
      <c r="E9" s="5" t="s">
        <v>76</v>
      </c>
      <c r="F9" t="str">
        <f t="shared" si="1"/>
        <v>Clark Elizabeth</v>
      </c>
      <c r="G9" t="str">
        <f t="shared" si="2"/>
        <v>celizabeth@zenco.com</v>
      </c>
      <c r="H9" s="1">
        <v>42905</v>
      </c>
      <c r="I9" s="2" t="s">
        <v>30</v>
      </c>
      <c r="J9" s="2" t="s">
        <v>96</v>
      </c>
      <c r="K9" s="2" t="str">
        <f t="shared" si="3"/>
        <v>02</v>
      </c>
      <c r="L9" t="str">
        <f t="shared" si="4"/>
        <v>Clark Elizabeth</v>
      </c>
      <c r="M9" t="str">
        <f t="shared" si="5"/>
        <v>celizabeth@zenco.com</v>
      </c>
      <c r="N9" t="str">
        <f t="shared" si="6"/>
        <v>North</v>
      </c>
      <c r="U9" s="10" t="s">
        <v>17</v>
      </c>
      <c r="V9" s="18">
        <v>3</v>
      </c>
      <c r="BN9" s="10" t="s">
        <v>161</v>
      </c>
      <c r="BO9" s="18">
        <v>4</v>
      </c>
      <c r="CE9" s="10" t="s">
        <v>12</v>
      </c>
      <c r="CF9" s="18">
        <v>1</v>
      </c>
    </row>
    <row r="10" spans="1:94" x14ac:dyDescent="0.25">
      <c r="A10" s="10">
        <v>1221</v>
      </c>
      <c r="B10" t="s">
        <v>128</v>
      </c>
      <c r="C10" t="str">
        <f t="shared" si="0"/>
        <v>1221P</v>
      </c>
      <c r="D10" t="s">
        <v>8</v>
      </c>
      <c r="E10" s="5" t="s">
        <v>23</v>
      </c>
      <c r="F10" t="str">
        <f t="shared" si="1"/>
        <v>Cole Sabrina</v>
      </c>
      <c r="G10" t="str">
        <f t="shared" si="2"/>
        <v>csabrina@zenco.com</v>
      </c>
      <c r="H10" s="1">
        <v>41401</v>
      </c>
      <c r="I10" s="2" t="s">
        <v>30</v>
      </c>
      <c r="J10" s="2" t="s">
        <v>97</v>
      </c>
      <c r="K10" s="2" t="str">
        <f t="shared" si="3"/>
        <v>02</v>
      </c>
      <c r="L10" t="str">
        <f t="shared" si="4"/>
        <v>Cole Sabrina</v>
      </c>
      <c r="M10" t="str">
        <f t="shared" si="5"/>
        <v>csabrina@zenco.com</v>
      </c>
      <c r="N10" t="str">
        <f t="shared" si="6"/>
        <v>West</v>
      </c>
      <c r="U10" s="10" t="s">
        <v>77</v>
      </c>
      <c r="V10" s="18">
        <v>5</v>
      </c>
      <c r="BN10" s="14" t="s">
        <v>127</v>
      </c>
      <c r="BO10" s="18">
        <v>2</v>
      </c>
      <c r="CE10" s="10" t="s">
        <v>17</v>
      </c>
      <c r="CF10" s="18">
        <v>3</v>
      </c>
    </row>
    <row r="11" spans="1:94" x14ac:dyDescent="0.25">
      <c r="A11" s="10">
        <v>1186</v>
      </c>
      <c r="B11" t="s">
        <v>127</v>
      </c>
      <c r="C11" t="str">
        <f t="shared" si="0"/>
        <v>1186F</v>
      </c>
      <c r="D11" t="s">
        <v>31</v>
      </c>
      <c r="E11" s="5" t="s">
        <v>19</v>
      </c>
      <c r="F11" t="str">
        <f t="shared" si="1"/>
        <v>Comuntzis Janet</v>
      </c>
      <c r="G11" t="str">
        <f t="shared" si="2"/>
        <v>cjanet@zenco.com</v>
      </c>
      <c r="H11" s="1">
        <v>39686</v>
      </c>
      <c r="I11" s="2" t="s">
        <v>30</v>
      </c>
      <c r="J11" s="2" t="s">
        <v>98</v>
      </c>
      <c r="K11" s="2" t="str">
        <f t="shared" si="3"/>
        <v>02</v>
      </c>
      <c r="L11" t="str">
        <f t="shared" si="4"/>
        <v>Comuntzis Janet</v>
      </c>
      <c r="M11" t="str">
        <f t="shared" si="5"/>
        <v>cjanet@zenco.com</v>
      </c>
      <c r="N11" t="str">
        <f t="shared" si="6"/>
        <v>West</v>
      </c>
      <c r="U11" s="10" t="s">
        <v>69</v>
      </c>
      <c r="V11" s="18">
        <v>15</v>
      </c>
      <c r="BN11" s="14" t="s">
        <v>128</v>
      </c>
      <c r="BO11" s="18">
        <v>2</v>
      </c>
      <c r="CE11" s="10" t="s">
        <v>77</v>
      </c>
      <c r="CF11" s="18">
        <v>5</v>
      </c>
    </row>
    <row r="12" spans="1:94" x14ac:dyDescent="0.25">
      <c r="A12" s="10">
        <v>1150</v>
      </c>
      <c r="B12" t="s">
        <v>127</v>
      </c>
      <c r="C12" t="str">
        <f t="shared" si="0"/>
        <v>1150F</v>
      </c>
      <c r="D12" t="s">
        <v>33</v>
      </c>
      <c r="E12" s="5" t="s">
        <v>14</v>
      </c>
      <c r="F12" t="str">
        <f t="shared" si="1"/>
        <v>Filosa Susan</v>
      </c>
      <c r="G12" t="str">
        <f t="shared" si="2"/>
        <v>fsusan@zenco.com</v>
      </c>
      <c r="H12" s="1">
        <v>38744</v>
      </c>
      <c r="I12" s="2" t="s">
        <v>30</v>
      </c>
      <c r="J12" s="2" t="s">
        <v>104</v>
      </c>
      <c r="K12" s="2" t="str">
        <f t="shared" si="3"/>
        <v>02</v>
      </c>
      <c r="L12" t="str">
        <f t="shared" si="4"/>
        <v>Filosa Susan</v>
      </c>
      <c r="M12" t="str">
        <f t="shared" si="5"/>
        <v>fsusan@zenco.com</v>
      </c>
      <c r="N12" t="str">
        <f t="shared" si="6"/>
        <v>West</v>
      </c>
      <c r="U12" s="10" t="s">
        <v>154</v>
      </c>
      <c r="V12" s="18">
        <v>35</v>
      </c>
      <c r="BN12" s="10" t="s">
        <v>162</v>
      </c>
      <c r="BO12" s="18">
        <v>16</v>
      </c>
      <c r="CE12" s="10" t="s">
        <v>69</v>
      </c>
      <c r="CF12" s="18">
        <v>15</v>
      </c>
      <c r="CP12" t="e" cm="1">
        <f t="array" ref="CP12">FullTimeCount/TotalEmployees</f>
        <v>#NAME?</v>
      </c>
    </row>
    <row r="13" spans="1:94" x14ac:dyDescent="0.25">
      <c r="A13" s="10">
        <v>1001</v>
      </c>
      <c r="B13" t="s">
        <v>128</v>
      </c>
      <c r="C13" t="str">
        <f t="shared" si="0"/>
        <v>1001P</v>
      </c>
      <c r="D13" t="s">
        <v>27</v>
      </c>
      <c r="E13" s="5" t="s">
        <v>29</v>
      </c>
      <c r="F13" t="str">
        <f t="shared" si="1"/>
        <v>Carol Joe</v>
      </c>
      <c r="G13" t="str">
        <f t="shared" si="2"/>
        <v>cjoe@zenco.com</v>
      </c>
      <c r="H13" s="1">
        <v>36923</v>
      </c>
      <c r="I13" s="2" t="s">
        <v>28</v>
      </c>
      <c r="J13" s="2" t="s">
        <v>90</v>
      </c>
      <c r="K13" s="2" t="str">
        <f t="shared" si="3"/>
        <v>01</v>
      </c>
      <c r="L13" t="str">
        <f t="shared" si="4"/>
        <v>Carol Joe</v>
      </c>
      <c r="M13" t="str">
        <f t="shared" si="5"/>
        <v>cjoe@zenco.com</v>
      </c>
      <c r="N13" t="str">
        <f t="shared" si="6"/>
        <v>East</v>
      </c>
      <c r="BN13" s="14" t="s">
        <v>127</v>
      </c>
      <c r="BO13" s="18">
        <v>9</v>
      </c>
      <c r="CE13" s="10" t="s">
        <v>154</v>
      </c>
      <c r="CF13" s="18">
        <v>35</v>
      </c>
    </row>
    <row r="14" spans="1:94" x14ac:dyDescent="0.25">
      <c r="A14" s="10">
        <v>1252</v>
      </c>
      <c r="B14" t="s">
        <v>127</v>
      </c>
      <c r="C14" t="str">
        <f t="shared" si="0"/>
        <v>1252F</v>
      </c>
      <c r="D14" t="s">
        <v>72</v>
      </c>
      <c r="E14" s="5" t="s">
        <v>71</v>
      </c>
      <c r="F14" t="str">
        <f t="shared" si="1"/>
        <v>Wang Mei</v>
      </c>
      <c r="G14" t="str">
        <f t="shared" si="2"/>
        <v>wmei@zenco.com</v>
      </c>
      <c r="H14" s="1">
        <v>40188</v>
      </c>
      <c r="I14" s="2" t="s">
        <v>28</v>
      </c>
      <c r="J14" s="2" t="s">
        <v>113</v>
      </c>
      <c r="K14" s="2" t="str">
        <f t="shared" si="3"/>
        <v>01</v>
      </c>
      <c r="L14" t="str">
        <f t="shared" si="4"/>
        <v>Wang Mei</v>
      </c>
      <c r="M14" t="str">
        <f t="shared" si="5"/>
        <v>wmei@zenco.com</v>
      </c>
      <c r="N14" t="str">
        <f t="shared" si="6"/>
        <v>West</v>
      </c>
      <c r="BN14" s="14" t="s">
        <v>128</v>
      </c>
      <c r="BO14" s="18">
        <v>7</v>
      </c>
      <c r="CN14">
        <v>18</v>
      </c>
    </row>
    <row r="15" spans="1:94" x14ac:dyDescent="0.25">
      <c r="A15" s="10">
        <v>1224</v>
      </c>
      <c r="B15" t="s">
        <v>127</v>
      </c>
      <c r="C15" t="str">
        <f t="shared" si="0"/>
        <v>1224F</v>
      </c>
      <c r="D15" t="s">
        <v>10</v>
      </c>
      <c r="E15" s="5" t="s">
        <v>36</v>
      </c>
      <c r="F15" t="str">
        <f t="shared" si="1"/>
        <v>Chaffee Jim</v>
      </c>
      <c r="G15" t="str">
        <f t="shared" si="2"/>
        <v>cjim@zenco.com</v>
      </c>
      <c r="H15" s="1">
        <v>41787</v>
      </c>
      <c r="I15" s="2" t="s">
        <v>12</v>
      </c>
      <c r="J15" s="2" t="s">
        <v>91</v>
      </c>
      <c r="K15" s="2" t="str">
        <f t="shared" si="3"/>
        <v>03</v>
      </c>
      <c r="L15" t="str">
        <f t="shared" si="4"/>
        <v>Chaffee Jim</v>
      </c>
      <c r="M15" t="str">
        <f t="shared" si="5"/>
        <v>cjim@zenco.com</v>
      </c>
      <c r="N15" t="str">
        <f t="shared" si="6"/>
        <v>West</v>
      </c>
      <c r="BN15" s="10" t="s">
        <v>154</v>
      </c>
      <c r="BO15" s="18">
        <v>35</v>
      </c>
    </row>
    <row r="16" spans="1:94" x14ac:dyDescent="0.25">
      <c r="A16" s="10">
        <v>1243</v>
      </c>
      <c r="B16" t="s">
        <v>128</v>
      </c>
      <c r="C16" t="str">
        <f t="shared" si="0"/>
        <v>1243P</v>
      </c>
      <c r="D16" t="s">
        <v>39</v>
      </c>
      <c r="E16" s="5" t="s">
        <v>38</v>
      </c>
      <c r="F16" t="str">
        <f t="shared" si="1"/>
        <v>Binga Fred</v>
      </c>
      <c r="G16" t="str">
        <f t="shared" si="2"/>
        <v>bfred@zenco.com</v>
      </c>
      <c r="H16" s="1">
        <v>42229</v>
      </c>
      <c r="I16" s="2" t="s">
        <v>17</v>
      </c>
      <c r="J16" s="2" t="s">
        <v>86</v>
      </c>
      <c r="K16" s="2" t="str">
        <f t="shared" si="3"/>
        <v>03</v>
      </c>
      <c r="L16" t="str">
        <f t="shared" si="4"/>
        <v>Binga Fred</v>
      </c>
      <c r="M16" t="str">
        <f t="shared" si="5"/>
        <v>bfred@zenco.com</v>
      </c>
      <c r="N16" t="str">
        <f t="shared" si="6"/>
        <v>West</v>
      </c>
      <c r="CF16" s="10" t="s">
        <v>69</v>
      </c>
      <c r="CG16">
        <v>15</v>
      </c>
    </row>
    <row r="17" spans="1:32" x14ac:dyDescent="0.25">
      <c r="A17" s="10">
        <v>1211</v>
      </c>
      <c r="B17" t="s">
        <v>128</v>
      </c>
      <c r="C17" t="str">
        <f t="shared" si="0"/>
        <v>1211P</v>
      </c>
      <c r="D17" t="s">
        <v>79</v>
      </c>
      <c r="E17" s="5" t="s">
        <v>78</v>
      </c>
      <c r="F17" t="str">
        <f t="shared" si="1"/>
        <v>Chaudri Uma</v>
      </c>
      <c r="G17" t="str">
        <f t="shared" si="2"/>
        <v>cuma@zenco.com</v>
      </c>
      <c r="H17" s="1">
        <v>40994</v>
      </c>
      <c r="I17" s="2" t="s">
        <v>17</v>
      </c>
      <c r="J17" s="2" t="s">
        <v>116</v>
      </c>
      <c r="K17" s="2" t="str">
        <f t="shared" si="3"/>
        <v>03</v>
      </c>
      <c r="L17" t="str">
        <f t="shared" si="4"/>
        <v>Chaudri Uma</v>
      </c>
      <c r="M17" t="str">
        <f t="shared" si="5"/>
        <v>cuma@zenco.com</v>
      </c>
      <c r="N17" t="str">
        <f t="shared" si="6"/>
        <v>East</v>
      </c>
    </row>
    <row r="18" spans="1:32" x14ac:dyDescent="0.25">
      <c r="A18" s="10">
        <v>1249</v>
      </c>
      <c r="B18" t="s">
        <v>128</v>
      </c>
      <c r="C18" t="str">
        <f t="shared" si="0"/>
        <v>1249P</v>
      </c>
      <c r="D18" t="s">
        <v>75</v>
      </c>
      <c r="E18" s="5" t="s">
        <v>74</v>
      </c>
      <c r="F18" t="str">
        <f t="shared" si="1"/>
        <v>Sanders Sean</v>
      </c>
      <c r="G18" t="str">
        <f t="shared" si="2"/>
        <v>ssean@zenco.com</v>
      </c>
      <c r="H18" s="1">
        <v>42691</v>
      </c>
      <c r="I18" s="2" t="s">
        <v>17</v>
      </c>
      <c r="J18" s="2" t="s">
        <v>109</v>
      </c>
      <c r="K18" s="2" t="str">
        <f t="shared" si="3"/>
        <v>03</v>
      </c>
      <c r="L18" t="str">
        <f t="shared" si="4"/>
        <v>Sanders Sean</v>
      </c>
      <c r="M18" t="str">
        <f t="shared" si="5"/>
        <v>ssean@zenco.com</v>
      </c>
      <c r="N18" t="str">
        <f t="shared" si="6"/>
        <v>West</v>
      </c>
    </row>
    <row r="19" spans="1:32" x14ac:dyDescent="0.25">
      <c r="A19" s="10">
        <v>1198</v>
      </c>
      <c r="B19" t="s">
        <v>128</v>
      </c>
      <c r="C19" t="str">
        <f t="shared" si="0"/>
        <v>1198P</v>
      </c>
      <c r="D19" t="s">
        <v>37</v>
      </c>
      <c r="E19" s="5" t="s">
        <v>16</v>
      </c>
      <c r="F19" t="str">
        <f t="shared" si="1"/>
        <v>Chu Elizabeth</v>
      </c>
      <c r="G19" t="str">
        <f t="shared" si="2"/>
        <v>celizabeth@zenco.com</v>
      </c>
      <c r="H19" s="1">
        <v>40220</v>
      </c>
      <c r="I19" s="2" t="s">
        <v>77</v>
      </c>
      <c r="J19" s="2" t="s">
        <v>93</v>
      </c>
      <c r="K19" s="2" t="str">
        <f t="shared" si="3"/>
        <v>01</v>
      </c>
      <c r="L19" t="str">
        <f t="shared" si="4"/>
        <v>Chu Elizabeth</v>
      </c>
      <c r="M19" t="str">
        <f t="shared" si="5"/>
        <v>celizabeth@zenco.com</v>
      </c>
      <c r="N19" t="str">
        <f t="shared" si="6"/>
        <v>West</v>
      </c>
    </row>
    <row r="20" spans="1:32" x14ac:dyDescent="0.25">
      <c r="A20" s="10">
        <v>1003</v>
      </c>
      <c r="B20" t="s">
        <v>127</v>
      </c>
      <c r="C20" t="str">
        <f t="shared" si="0"/>
        <v>1003F</v>
      </c>
      <c r="D20" t="s">
        <v>20</v>
      </c>
      <c r="E20" s="5" t="s">
        <v>70</v>
      </c>
      <c r="F20" t="str">
        <f t="shared" si="1"/>
        <v>Chung Eric</v>
      </c>
      <c r="G20" t="str">
        <f t="shared" si="2"/>
        <v>ceric@zenco.com</v>
      </c>
      <c r="H20" s="1">
        <v>36949</v>
      </c>
      <c r="I20" s="2" t="s">
        <v>77</v>
      </c>
      <c r="J20" s="2" t="s">
        <v>94</v>
      </c>
      <c r="K20" s="2" t="str">
        <f t="shared" si="3"/>
        <v>03</v>
      </c>
      <c r="L20" t="str">
        <f t="shared" si="4"/>
        <v>Chung Eric</v>
      </c>
      <c r="M20" t="str">
        <f t="shared" si="5"/>
        <v>ceric@zenco.com</v>
      </c>
      <c r="N20" t="str">
        <f t="shared" si="6"/>
        <v>West</v>
      </c>
    </row>
    <row r="21" spans="1:32" x14ac:dyDescent="0.25">
      <c r="A21" s="10">
        <v>1218</v>
      </c>
      <c r="B21" t="s">
        <v>128</v>
      </c>
      <c r="C21" t="str">
        <f t="shared" si="0"/>
        <v>1218P</v>
      </c>
      <c r="D21" t="s">
        <v>6</v>
      </c>
      <c r="E21" s="5" t="s">
        <v>21</v>
      </c>
      <c r="F21" t="str">
        <f t="shared" si="1"/>
        <v>Decker Bob</v>
      </c>
      <c r="G21" t="str">
        <f t="shared" si="2"/>
        <v>dbob@zenco.com</v>
      </c>
      <c r="H21" s="1">
        <v>41210</v>
      </c>
      <c r="I21" s="2" t="s">
        <v>77</v>
      </c>
      <c r="J21" s="2" t="s">
        <v>117</v>
      </c>
      <c r="K21" s="2" t="str">
        <f t="shared" si="3"/>
        <v>01</v>
      </c>
      <c r="L21" t="str">
        <f t="shared" si="4"/>
        <v>Decker Bob</v>
      </c>
      <c r="M21" t="str">
        <f t="shared" si="5"/>
        <v>dbob@zenco.com</v>
      </c>
      <c r="N21" t="str">
        <f t="shared" si="6"/>
        <v>East</v>
      </c>
    </row>
    <row r="22" spans="1:32" x14ac:dyDescent="0.25">
      <c r="A22" s="10">
        <v>1215</v>
      </c>
      <c r="B22" t="s">
        <v>127</v>
      </c>
      <c r="C22" t="str">
        <f t="shared" si="0"/>
        <v>1215F</v>
      </c>
      <c r="D22" t="s">
        <v>40</v>
      </c>
      <c r="E22" s="5" t="s">
        <v>42</v>
      </c>
      <c r="F22" t="str">
        <f t="shared" si="1"/>
        <v>Desiato Tina</v>
      </c>
      <c r="G22" t="str">
        <f t="shared" si="2"/>
        <v>dtina@zenco.com</v>
      </c>
      <c r="H22" s="1">
        <v>41175</v>
      </c>
      <c r="I22" t="s">
        <v>77</v>
      </c>
      <c r="J22" s="2" t="s">
        <v>99</v>
      </c>
      <c r="K22" s="2" t="str">
        <f t="shared" si="3"/>
        <v>01</v>
      </c>
      <c r="L22" t="str">
        <f t="shared" si="4"/>
        <v>Desiato Tina</v>
      </c>
      <c r="M22" t="str">
        <f t="shared" si="5"/>
        <v>dtina@zenco.com</v>
      </c>
      <c r="N22" t="str">
        <f t="shared" si="6"/>
        <v>East</v>
      </c>
    </row>
    <row r="23" spans="1:32" x14ac:dyDescent="0.25">
      <c r="A23" s="10">
        <v>1246</v>
      </c>
      <c r="B23" t="s">
        <v>127</v>
      </c>
      <c r="C23" t="str">
        <f t="shared" si="0"/>
        <v>1246F</v>
      </c>
      <c r="D23" t="s">
        <v>18</v>
      </c>
      <c r="E23" s="5" t="s">
        <v>32</v>
      </c>
      <c r="F23" t="str">
        <f t="shared" si="1"/>
        <v>Ellis Mark</v>
      </c>
      <c r="G23" t="str">
        <f t="shared" si="2"/>
        <v>emark@zenco.com</v>
      </c>
      <c r="H23" s="1">
        <v>42371</v>
      </c>
      <c r="I23" s="2" t="s">
        <v>77</v>
      </c>
      <c r="J23" s="2" t="s">
        <v>101</v>
      </c>
      <c r="K23" s="2" t="str">
        <f t="shared" si="3"/>
        <v>03</v>
      </c>
      <c r="L23" t="str">
        <f t="shared" si="4"/>
        <v>Ellis Mark</v>
      </c>
      <c r="M23" t="str">
        <f t="shared" si="5"/>
        <v>emark@zenco.com</v>
      </c>
      <c r="N23" t="str">
        <f t="shared" si="6"/>
        <v>North</v>
      </c>
    </row>
    <row r="24" spans="1:32" x14ac:dyDescent="0.25">
      <c r="A24" s="10">
        <v>1180</v>
      </c>
      <c r="B24" t="s">
        <v>127</v>
      </c>
      <c r="C24" t="str">
        <f t="shared" si="0"/>
        <v>1180F</v>
      </c>
      <c r="D24" t="s">
        <v>82</v>
      </c>
      <c r="E24" s="5" t="s">
        <v>62</v>
      </c>
      <c r="F24" t="str">
        <f t="shared" si="1"/>
        <v>Bacata Stevie</v>
      </c>
      <c r="G24" t="str">
        <f t="shared" si="2"/>
        <v>bstevie@zenco.com</v>
      </c>
      <c r="H24" s="1">
        <v>39551</v>
      </c>
      <c r="I24" s="2" t="s">
        <v>69</v>
      </c>
      <c r="J24" s="2" t="s">
        <v>83</v>
      </c>
      <c r="K24" s="2" t="str">
        <f t="shared" si="3"/>
        <v>02</v>
      </c>
      <c r="L24" t="str">
        <f t="shared" si="4"/>
        <v>Bacata Stevie</v>
      </c>
      <c r="M24" t="str">
        <f t="shared" si="5"/>
        <v>bstevie@zenco.com</v>
      </c>
      <c r="N24" t="str">
        <f t="shared" si="6"/>
        <v>West</v>
      </c>
    </row>
    <row r="25" spans="1:32" x14ac:dyDescent="0.25">
      <c r="A25" s="10">
        <v>1232</v>
      </c>
      <c r="B25" t="s">
        <v>127</v>
      </c>
      <c r="C25" t="str">
        <f t="shared" si="0"/>
        <v>1232F</v>
      </c>
      <c r="D25" t="s">
        <v>57</v>
      </c>
      <c r="E25" s="5" t="s">
        <v>56</v>
      </c>
      <c r="F25" t="str">
        <f t="shared" si="1"/>
        <v>Betts Connor</v>
      </c>
      <c r="G25" t="str">
        <f t="shared" si="2"/>
        <v>bconnor@zenco.com</v>
      </c>
      <c r="H25" s="1">
        <v>41956</v>
      </c>
      <c r="I25" s="2" t="s">
        <v>69</v>
      </c>
      <c r="J25" s="2" t="s">
        <v>85</v>
      </c>
      <c r="K25" s="2" t="str">
        <f t="shared" si="3"/>
        <v>02</v>
      </c>
      <c r="L25" t="str">
        <f t="shared" si="4"/>
        <v>Betts Connor</v>
      </c>
      <c r="M25" t="str">
        <f t="shared" si="5"/>
        <v>bconnor@zenco.com</v>
      </c>
      <c r="N25" t="str">
        <f>IF(ISNUMBER(SEARCH("North",J25)),"North",IF(ISNUMBER(SEARCH("East",J25)),"East",IF(ISNUMBER(SEARCH("West",J25)),"West","")))</f>
        <v>North</v>
      </c>
    </row>
    <row r="26" spans="1:32" x14ac:dyDescent="0.25">
      <c r="A26" s="10">
        <v>1248</v>
      </c>
      <c r="B26" t="s">
        <v>128</v>
      </c>
      <c r="C26" t="str">
        <f t="shared" si="0"/>
        <v>1248P</v>
      </c>
      <c r="D26" t="s">
        <v>59</v>
      </c>
      <c r="E26" s="5" t="s">
        <v>58</v>
      </c>
      <c r="F26" t="str">
        <f t="shared" si="1"/>
        <v>Biti Yvette</v>
      </c>
      <c r="G26" t="str">
        <f t="shared" si="2"/>
        <v>byvette@zenco.com</v>
      </c>
      <c r="H26" s="1">
        <v>42384</v>
      </c>
      <c r="I26" s="2" t="s">
        <v>69</v>
      </c>
      <c r="J26" s="2" t="s">
        <v>115</v>
      </c>
      <c r="K26" s="2" t="str">
        <f t="shared" si="3"/>
        <v>02</v>
      </c>
      <c r="L26" t="str">
        <f t="shared" si="4"/>
        <v>Biti Yvette</v>
      </c>
      <c r="M26" t="str">
        <f t="shared" si="5"/>
        <v>byvette@zenco.com</v>
      </c>
      <c r="N26" t="str">
        <f t="shared" si="6"/>
        <v>West</v>
      </c>
    </row>
    <row r="27" spans="1:32" x14ac:dyDescent="0.25">
      <c r="A27" s="10">
        <v>1230</v>
      </c>
      <c r="B27" t="s">
        <v>128</v>
      </c>
      <c r="C27" t="str">
        <f t="shared" si="0"/>
        <v>1230P</v>
      </c>
      <c r="D27" t="s">
        <v>61</v>
      </c>
      <c r="E27" s="5" t="s">
        <v>60</v>
      </c>
      <c r="F27" t="str">
        <f t="shared" si="1"/>
        <v>Bui Charlie</v>
      </c>
      <c r="G27" t="str">
        <f t="shared" si="2"/>
        <v>bcharlie@zenco.com</v>
      </c>
      <c r="H27" s="1">
        <v>41903</v>
      </c>
      <c r="I27" s="2" t="s">
        <v>69</v>
      </c>
      <c r="J27" s="2" t="s">
        <v>88</v>
      </c>
      <c r="K27" s="2" t="str">
        <f t="shared" si="3"/>
        <v>02</v>
      </c>
      <c r="L27" t="str">
        <f t="shared" si="4"/>
        <v>Bui Charlie</v>
      </c>
      <c r="M27" t="str">
        <f t="shared" si="5"/>
        <v>bcharlie@zenco.com</v>
      </c>
      <c r="N27" t="str">
        <f t="shared" si="6"/>
        <v>East</v>
      </c>
    </row>
    <row r="28" spans="1:32" x14ac:dyDescent="0.25">
      <c r="A28" s="10">
        <v>1162</v>
      </c>
      <c r="B28" t="s">
        <v>127</v>
      </c>
      <c r="C28" t="str">
        <f t="shared" si="0"/>
        <v>1162F</v>
      </c>
      <c r="D28" t="s">
        <v>43</v>
      </c>
      <c r="E28" s="5" t="s">
        <v>41</v>
      </c>
      <c r="F28" t="str">
        <f t="shared" si="1"/>
        <v>Carlton Barbara</v>
      </c>
      <c r="G28" t="str">
        <f t="shared" si="2"/>
        <v>cbarbara@zenco.com</v>
      </c>
      <c r="H28" s="1">
        <v>38798</v>
      </c>
      <c r="I28" s="2" t="s">
        <v>69</v>
      </c>
      <c r="J28" s="2" t="s">
        <v>89</v>
      </c>
      <c r="K28" s="2" t="str">
        <f t="shared" si="3"/>
        <v>02</v>
      </c>
      <c r="L28" t="str">
        <f t="shared" si="4"/>
        <v>Carlton Barbara</v>
      </c>
      <c r="M28" t="str">
        <f t="shared" si="5"/>
        <v>cbarbara@zenco.com</v>
      </c>
      <c r="N28" t="str">
        <f t="shared" si="6"/>
        <v>West</v>
      </c>
    </row>
    <row r="29" spans="1:32" x14ac:dyDescent="0.25">
      <c r="A29" s="10">
        <v>1203</v>
      </c>
      <c r="B29" t="s">
        <v>128</v>
      </c>
      <c r="C29" t="str">
        <f t="shared" si="0"/>
        <v>1203P</v>
      </c>
      <c r="D29" t="s">
        <v>45</v>
      </c>
      <c r="E29" s="5" t="s">
        <v>44</v>
      </c>
      <c r="F29" t="str">
        <f t="shared" si="1"/>
        <v>Chairs Samantha</v>
      </c>
      <c r="G29" t="str">
        <f t="shared" si="2"/>
        <v>csamantha@zenco.com</v>
      </c>
      <c r="H29" s="1">
        <v>40595</v>
      </c>
      <c r="I29" s="2" t="s">
        <v>69</v>
      </c>
      <c r="J29" s="2" t="s">
        <v>92</v>
      </c>
      <c r="K29" s="2" t="str">
        <f t="shared" si="3"/>
        <v>02</v>
      </c>
      <c r="L29" t="str">
        <f t="shared" si="4"/>
        <v>Chairs Samantha</v>
      </c>
      <c r="M29" t="str">
        <f t="shared" si="5"/>
        <v>csamantha@zenco.com</v>
      </c>
      <c r="N29" t="str">
        <f t="shared" si="6"/>
        <v>West</v>
      </c>
    </row>
    <row r="30" spans="1:32" x14ac:dyDescent="0.25">
      <c r="A30" s="10">
        <v>1134</v>
      </c>
      <c r="B30" t="s">
        <v>127</v>
      </c>
      <c r="C30" t="str">
        <f t="shared" si="0"/>
        <v>1134F</v>
      </c>
      <c r="D30" t="s">
        <v>35</v>
      </c>
      <c r="E30" s="5" t="s">
        <v>26</v>
      </c>
      <c r="F30" t="str">
        <f t="shared" si="1"/>
        <v>Ferris Mary</v>
      </c>
      <c r="G30" t="str">
        <f t="shared" si="2"/>
        <v>fmary@zenco.com</v>
      </c>
      <c r="H30" s="1">
        <v>38548</v>
      </c>
      <c r="I30" s="2" t="s">
        <v>69</v>
      </c>
      <c r="J30" s="2" t="s">
        <v>103</v>
      </c>
      <c r="K30" s="2" t="str">
        <f t="shared" si="3"/>
        <v>03</v>
      </c>
      <c r="L30" t="str">
        <f t="shared" si="4"/>
        <v>Ferris Mary</v>
      </c>
      <c r="M30" t="str">
        <f t="shared" si="5"/>
        <v>fmary@zenco.com</v>
      </c>
      <c r="N30" t="str">
        <f t="shared" si="6"/>
        <v>East</v>
      </c>
      <c r="AE30" s="12" t="s">
        <v>153</v>
      </c>
      <c r="AF30" t="s">
        <v>158</v>
      </c>
    </row>
    <row r="31" spans="1:32" x14ac:dyDescent="0.25">
      <c r="A31" s="10">
        <v>1004</v>
      </c>
      <c r="B31" t="s">
        <v>128</v>
      </c>
      <c r="C31" t="str">
        <f t="shared" si="0"/>
        <v>1004P</v>
      </c>
      <c r="D31" t="s">
        <v>22</v>
      </c>
      <c r="E31" s="5" t="s">
        <v>9</v>
      </c>
      <c r="F31" t="str">
        <f t="shared" si="1"/>
        <v>Flanders Daniel</v>
      </c>
      <c r="G31" t="str">
        <f t="shared" si="2"/>
        <v>fdaniel@zenco.com</v>
      </c>
      <c r="H31" s="1">
        <v>37510</v>
      </c>
      <c r="I31" s="2" t="s">
        <v>69</v>
      </c>
      <c r="J31" s="2" t="s">
        <v>105</v>
      </c>
      <c r="K31" s="2" t="str">
        <f t="shared" si="3"/>
        <v>02</v>
      </c>
      <c r="L31" t="str">
        <f t="shared" si="4"/>
        <v>Flanders Daniel</v>
      </c>
      <c r="M31" t="str">
        <f t="shared" si="5"/>
        <v>fdaniel@zenco.com</v>
      </c>
      <c r="N31" t="str">
        <f t="shared" si="6"/>
        <v>East</v>
      </c>
      <c r="AE31" s="10" t="s">
        <v>155</v>
      </c>
      <c r="AF31" s="18">
        <v>5</v>
      </c>
    </row>
    <row r="32" spans="1:32" x14ac:dyDescent="0.25">
      <c r="A32" s="10">
        <v>1239</v>
      </c>
      <c r="B32" t="s">
        <v>127</v>
      </c>
      <c r="C32" t="str">
        <f t="shared" si="0"/>
        <v>1239F</v>
      </c>
      <c r="D32" t="s">
        <v>51</v>
      </c>
      <c r="E32" s="5" t="s">
        <v>50</v>
      </c>
      <c r="F32" t="str">
        <f t="shared" si="1"/>
        <v>Forrest Leighton</v>
      </c>
      <c r="G32" t="str">
        <f t="shared" si="2"/>
        <v>fleighton@zenco.com</v>
      </c>
      <c r="H32" s="1">
        <v>42120</v>
      </c>
      <c r="I32" s="2" t="s">
        <v>69</v>
      </c>
      <c r="J32" s="2" t="s">
        <v>106</v>
      </c>
      <c r="K32" s="2" t="str">
        <f t="shared" si="3"/>
        <v>02</v>
      </c>
      <c r="L32" t="str">
        <f t="shared" si="4"/>
        <v>Forrest Leighton</v>
      </c>
      <c r="M32" t="str">
        <f t="shared" si="5"/>
        <v>fleighton@zenco.com</v>
      </c>
      <c r="N32" t="str">
        <f t="shared" si="6"/>
        <v>East</v>
      </c>
      <c r="AE32" s="10" t="s">
        <v>156</v>
      </c>
      <c r="AF32" s="18">
        <v>20</v>
      </c>
    </row>
    <row r="33" spans="1:32" x14ac:dyDescent="0.25">
      <c r="A33" s="10">
        <v>1250</v>
      </c>
      <c r="B33" t="s">
        <v>127</v>
      </c>
      <c r="C33" t="str">
        <f t="shared" si="0"/>
        <v>1250F</v>
      </c>
      <c r="D33" t="s">
        <v>49</v>
      </c>
      <c r="E33" s="5" t="s">
        <v>48</v>
      </c>
      <c r="F33" t="str">
        <f t="shared" si="1"/>
        <v>Gour Phoebe</v>
      </c>
      <c r="G33" t="str">
        <f t="shared" si="2"/>
        <v>gphoebe@zenco.com</v>
      </c>
      <c r="H33" s="1">
        <v>42721</v>
      </c>
      <c r="I33" s="2" t="s">
        <v>69</v>
      </c>
      <c r="J33" s="2" t="s">
        <v>107</v>
      </c>
      <c r="K33" s="2" t="str">
        <f t="shared" si="3"/>
        <v>02</v>
      </c>
      <c r="L33" t="str">
        <f t="shared" si="4"/>
        <v>Gour Phoebe</v>
      </c>
      <c r="M33" t="str">
        <f t="shared" si="5"/>
        <v>gphoebe@zenco.com</v>
      </c>
      <c r="N33" t="str">
        <f t="shared" si="6"/>
        <v>East</v>
      </c>
      <c r="AE33" s="10" t="s">
        <v>157</v>
      </c>
      <c r="AF33" s="18">
        <v>10</v>
      </c>
    </row>
    <row r="34" spans="1:32" x14ac:dyDescent="0.25">
      <c r="A34" s="10">
        <v>1192</v>
      </c>
      <c r="B34" t="s">
        <v>128</v>
      </c>
      <c r="C34" t="str">
        <f t="shared" si="0"/>
        <v>1192P</v>
      </c>
      <c r="D34" t="s">
        <v>47</v>
      </c>
      <c r="E34" s="5" t="s">
        <v>46</v>
      </c>
      <c r="F34" t="str">
        <f t="shared" si="1"/>
        <v>Khan Mihael</v>
      </c>
      <c r="G34" t="str">
        <f t="shared" si="2"/>
        <v>kmihael@zenco.com</v>
      </c>
      <c r="H34" s="1">
        <v>40160</v>
      </c>
      <c r="I34" s="2" t="s">
        <v>69</v>
      </c>
      <c r="J34" s="2" t="s">
        <v>108</v>
      </c>
      <c r="K34" s="2" t="str">
        <f t="shared" si="3"/>
        <v>02</v>
      </c>
      <c r="L34" t="str">
        <f t="shared" si="4"/>
        <v>Khan Mihael</v>
      </c>
      <c r="M34" t="str">
        <f t="shared" si="5"/>
        <v>kmihael@zenco.com</v>
      </c>
      <c r="N34" t="str">
        <f t="shared" si="6"/>
        <v>North</v>
      </c>
      <c r="AE34" s="10" t="s">
        <v>154</v>
      </c>
      <c r="AF34" s="18">
        <v>35</v>
      </c>
    </row>
    <row r="35" spans="1:32" x14ac:dyDescent="0.25">
      <c r="A35" s="10">
        <v>1245</v>
      </c>
      <c r="B35" t="s">
        <v>128</v>
      </c>
      <c r="C35" t="str">
        <f t="shared" si="0"/>
        <v>1245P</v>
      </c>
      <c r="D35" t="s">
        <v>68</v>
      </c>
      <c r="E35" s="5" t="s">
        <v>67</v>
      </c>
      <c r="F35" t="str">
        <f t="shared" si="1"/>
        <v>Senome Preston</v>
      </c>
      <c r="G35" t="str">
        <f t="shared" si="2"/>
        <v>spreston@zenco.com</v>
      </c>
      <c r="H35" s="1">
        <v>42324</v>
      </c>
      <c r="I35" s="2" t="s">
        <v>69</v>
      </c>
      <c r="J35" s="2" t="s">
        <v>110</v>
      </c>
      <c r="K35" s="2" t="str">
        <f t="shared" si="3"/>
        <v>02</v>
      </c>
      <c r="L35" t="str">
        <f t="shared" si="4"/>
        <v>Senome Preston</v>
      </c>
      <c r="M35" t="str">
        <f t="shared" si="5"/>
        <v>spreston@zenco.com</v>
      </c>
      <c r="N35" t="str">
        <f t="shared" si="6"/>
        <v>East</v>
      </c>
    </row>
    <row r="36" spans="1:32" x14ac:dyDescent="0.25">
      <c r="A36" s="10">
        <v>1207</v>
      </c>
      <c r="B36" t="s">
        <v>128</v>
      </c>
      <c r="C36" t="str">
        <f t="shared" si="0"/>
        <v>1207P</v>
      </c>
      <c r="D36" t="s">
        <v>53</v>
      </c>
      <c r="E36" s="5" t="s">
        <v>52</v>
      </c>
      <c r="F36" t="str">
        <f t="shared" si="1"/>
        <v>Song Natasha</v>
      </c>
      <c r="G36" t="str">
        <f t="shared" si="2"/>
        <v>snatasha@zenco.com</v>
      </c>
      <c r="H36" s="1">
        <v>40713</v>
      </c>
      <c r="I36" s="2" t="s">
        <v>69</v>
      </c>
      <c r="J36" s="2" t="s">
        <v>111</v>
      </c>
      <c r="K36" s="2" t="str">
        <f t="shared" si="3"/>
        <v>02</v>
      </c>
      <c r="L36" t="str">
        <f t="shared" si="4"/>
        <v>Song Natasha</v>
      </c>
      <c r="M36" t="str">
        <f t="shared" si="5"/>
        <v>snatasha@zenco.com</v>
      </c>
      <c r="N36" t="str">
        <f t="shared" si="6"/>
        <v>East</v>
      </c>
    </row>
    <row r="37" spans="1:32" x14ac:dyDescent="0.25">
      <c r="A37" s="10">
        <v>1244</v>
      </c>
      <c r="B37" t="s">
        <v>128</v>
      </c>
      <c r="C37" t="str">
        <f t="shared" si="0"/>
        <v>1244P</v>
      </c>
      <c r="D37" t="s">
        <v>66</v>
      </c>
      <c r="E37" s="5" t="s">
        <v>65</v>
      </c>
      <c r="F37" t="str">
        <f t="shared" si="1"/>
        <v>Staples Radhya</v>
      </c>
      <c r="G37" t="str">
        <f t="shared" si="2"/>
        <v>sradhya@zenco.com</v>
      </c>
      <c r="H37" s="1">
        <v>42321</v>
      </c>
      <c r="I37" s="2" t="s">
        <v>69</v>
      </c>
      <c r="J37" s="2" t="s">
        <v>112</v>
      </c>
      <c r="K37" s="2" t="str">
        <f t="shared" si="3"/>
        <v>02</v>
      </c>
      <c r="L37" t="str">
        <f t="shared" si="4"/>
        <v>Staples Radhya</v>
      </c>
      <c r="M37" t="str">
        <f t="shared" si="5"/>
        <v>sradhya@zenco.com</v>
      </c>
      <c r="N37" t="str">
        <f t="shared" si="6"/>
        <v>East</v>
      </c>
    </row>
    <row r="38" spans="1:32" x14ac:dyDescent="0.25">
      <c r="A38" s="10">
        <v>1237</v>
      </c>
      <c r="B38" t="s">
        <v>127</v>
      </c>
      <c r="C38" t="str">
        <f t="shared" si="0"/>
        <v>1237F</v>
      </c>
      <c r="D38" t="s">
        <v>55</v>
      </c>
      <c r="E38" s="5" t="s">
        <v>54</v>
      </c>
      <c r="F38" t="str">
        <f t="shared" si="1"/>
        <v>Zhang Aanya</v>
      </c>
      <c r="G38" t="str">
        <f t="shared" si="2"/>
        <v>zaanya@zenco.com</v>
      </c>
      <c r="H38" s="1">
        <v>42002</v>
      </c>
      <c r="I38" s="2" t="s">
        <v>69</v>
      </c>
      <c r="J38" s="2" t="s">
        <v>114</v>
      </c>
      <c r="K38" s="2" t="str">
        <f t="shared" si="3"/>
        <v>02</v>
      </c>
      <c r="L38" t="str">
        <f t="shared" si="4"/>
        <v>Zhang Aanya</v>
      </c>
      <c r="M38" t="str">
        <f t="shared" si="5"/>
        <v>zaanya@zenco.com</v>
      </c>
      <c r="N38" t="str">
        <f t="shared" si="6"/>
        <v>East</v>
      </c>
    </row>
  </sheetData>
  <pageMargins left="0.7" right="0.7" top="0.75" bottom="0.75" header="0.3" footer="0.3"/>
  <pageSetup paperSize="9" orientation="portrait" horizontalDpi="75" verticalDpi="75" r:id="rId11"/>
  <drawing r:id="rId12"/>
  <extLst>
    <ext xmlns:x14="http://schemas.microsoft.com/office/spreadsheetml/2009/9/main" uri="{A8765BA9-456A-4dab-B4F3-ACF838C121DE}">
      <x14:slicerList>
        <x14:slicer r:id="rId1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C28E8-C3D9-481A-8945-BC690782F650}">
  <sheetPr codeName="Sheet4"/>
  <dimension ref="A1"/>
  <sheetViews>
    <sheetView showGridLines="0" showRowColHeaders="0" tabSelected="1" workbookViewId="0">
      <selection activeCell="W5" sqref="W5"/>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HR 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dc:creator>
  <cp:lastModifiedBy>a26088</cp:lastModifiedBy>
  <dcterms:created xsi:type="dcterms:W3CDTF">2017-06-15T06:51:11Z</dcterms:created>
  <dcterms:modified xsi:type="dcterms:W3CDTF">2026-02-16T16:15:15Z</dcterms:modified>
</cp:coreProperties>
</file>